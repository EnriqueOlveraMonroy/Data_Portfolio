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d.docs.live.net/a9971ebb3ed35fc6/TRABAJO/data-portfolio/Excel projects/"/>
    </mc:Choice>
  </mc:AlternateContent>
  <xr:revisionPtr revIDLastSave="81" documentId="11_978DB624E0C136BBDD21F8DEDAA1F4DD38C62F68" xr6:coauthVersionLast="47" xr6:coauthVersionMax="47" xr10:uidLastSave="{3CC2C8F0-21C5-C443-8FD7-C745974D0D00}"/>
  <bookViews>
    <workbookView xWindow="0" yWindow="580" windowWidth="25600" windowHeight="16060" tabRatio="500" xr2:uid="{00000000-000D-0000-FFFF-FFFF00000000}"/>
  </bookViews>
  <sheets>
    <sheet name="Ventas" sheetId="2" r:id="rId1"/>
    <sheet name="Análisis" sheetId="3" r:id="rId2"/>
    <sheet name="Dashboard" sheetId="1" r:id="rId3"/>
  </sheets>
  <definedNames>
    <definedName name="_xlnm.Print_Area" localSheetId="2">Dashboard!$A$1:$L$40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2" i="3" l="1"/>
  <c r="B150" i="3"/>
  <c r="C150" i="3" s="1"/>
  <c r="B149" i="3"/>
  <c r="C149" i="3" s="1"/>
  <c r="B148" i="3"/>
  <c r="C148" i="3" s="1"/>
  <c r="B147" i="3"/>
  <c r="C147" i="3" s="1"/>
  <c r="B146" i="3"/>
  <c r="C146" i="3" s="1"/>
  <c r="B145" i="3"/>
  <c r="C145" i="3" s="1"/>
  <c r="B144" i="3"/>
  <c r="C144" i="3" s="1"/>
  <c r="B143" i="3"/>
  <c r="C143" i="3" s="1"/>
  <c r="B142" i="3"/>
  <c r="C142" i="3" s="1"/>
  <c r="B141" i="3"/>
  <c r="C141" i="3" s="1"/>
  <c r="B140" i="3"/>
  <c r="C140" i="3" s="1"/>
  <c r="B139" i="3"/>
  <c r="C139" i="3" s="1"/>
  <c r="B138" i="3"/>
  <c r="C138" i="3" s="1"/>
  <c r="B137" i="3"/>
  <c r="C137" i="3" s="1"/>
  <c r="B136" i="3"/>
  <c r="C136" i="3" s="1"/>
  <c r="B135" i="3"/>
  <c r="C135" i="3" s="1"/>
  <c r="B134" i="3"/>
  <c r="C134" i="3" s="1"/>
  <c r="B133" i="3"/>
  <c r="C133" i="3" s="1"/>
  <c r="B132" i="3"/>
  <c r="C132" i="3" s="1"/>
  <c r="B131" i="3"/>
  <c r="C131" i="3" s="1"/>
  <c r="B130" i="3"/>
  <c r="C130" i="3" s="1"/>
  <c r="B129" i="3"/>
  <c r="C129" i="3" s="1"/>
  <c r="B128" i="3"/>
  <c r="C128" i="3" s="1"/>
  <c r="B127" i="3"/>
  <c r="C127" i="3" s="1"/>
  <c r="B126" i="3"/>
  <c r="C126" i="3" s="1"/>
  <c r="B125" i="3"/>
  <c r="C125" i="3" s="1"/>
  <c r="B124" i="3"/>
  <c r="C124" i="3" s="1"/>
  <c r="B123" i="3"/>
  <c r="C123" i="3" s="1"/>
  <c r="B122" i="3"/>
  <c r="C122" i="3" s="1"/>
  <c r="B121" i="3"/>
  <c r="C121" i="3" s="1"/>
  <c r="B120" i="3"/>
  <c r="C120" i="3" s="1"/>
  <c r="B119" i="3"/>
  <c r="C119" i="3" s="1"/>
  <c r="B115" i="3"/>
  <c r="C115" i="3" s="1"/>
  <c r="B114" i="3"/>
  <c r="C114" i="3" s="1"/>
  <c r="B113" i="3"/>
  <c r="C113" i="3" s="1"/>
  <c r="B112" i="3"/>
  <c r="C112" i="3" s="1"/>
  <c r="B111" i="3"/>
  <c r="C111" i="3" s="1"/>
  <c r="B110" i="3"/>
  <c r="C110" i="3" s="1"/>
  <c r="B109" i="3"/>
  <c r="C109" i="3" s="1"/>
  <c r="B108" i="3"/>
  <c r="C108" i="3" s="1"/>
  <c r="B107" i="3"/>
  <c r="C107" i="3" s="1"/>
  <c r="B106" i="3"/>
  <c r="C106" i="3" s="1"/>
  <c r="B105" i="3"/>
  <c r="C105" i="3" s="1"/>
  <c r="B104" i="3"/>
  <c r="C104" i="3" s="1"/>
  <c r="B103" i="3"/>
  <c r="C103" i="3" s="1"/>
  <c r="B102" i="3"/>
  <c r="C102" i="3" s="1"/>
  <c r="B101" i="3"/>
  <c r="C101" i="3" s="1"/>
  <c r="B100" i="3"/>
  <c r="C100" i="3" s="1"/>
  <c r="B99" i="3"/>
  <c r="C99" i="3" s="1"/>
  <c r="B98" i="3"/>
  <c r="C98" i="3" s="1"/>
  <c r="B97" i="3"/>
  <c r="C97" i="3" s="1"/>
  <c r="B96" i="3"/>
  <c r="C96" i="3" s="1"/>
  <c r="B95" i="3"/>
  <c r="C95" i="3" s="1"/>
  <c r="B94" i="3"/>
  <c r="C94" i="3" s="1"/>
  <c r="B93" i="3"/>
  <c r="C93" i="3" s="1"/>
  <c r="B92" i="3"/>
  <c r="C92" i="3" s="1"/>
  <c r="B91" i="3"/>
  <c r="C91" i="3" s="1"/>
  <c r="B90" i="3"/>
  <c r="C90" i="3" s="1"/>
  <c r="B89" i="3"/>
  <c r="C89" i="3" s="1"/>
  <c r="B88" i="3"/>
  <c r="C88" i="3" s="1"/>
  <c r="B87" i="3"/>
  <c r="C87" i="3" s="1"/>
  <c r="B86" i="3"/>
  <c r="C86" i="3" s="1"/>
  <c r="B85" i="3"/>
  <c r="C85" i="3" s="1"/>
  <c r="B84" i="3"/>
  <c r="C84" i="3" s="1"/>
  <c r="B83" i="3"/>
  <c r="C83" i="3" s="1"/>
  <c r="B82" i="3"/>
  <c r="C82" i="3" s="1"/>
  <c r="B81" i="3"/>
  <c r="C81" i="3" s="1"/>
  <c r="B80" i="3"/>
  <c r="C80" i="3" s="1"/>
  <c r="B79" i="3"/>
  <c r="C79" i="3" s="1"/>
  <c r="B78" i="3"/>
  <c r="C78" i="3" s="1"/>
  <c r="B77" i="3"/>
  <c r="C77" i="3" s="1"/>
  <c r="B76" i="3"/>
  <c r="C76" i="3" s="1"/>
  <c r="B75" i="3"/>
  <c r="C75" i="3" s="1"/>
  <c r="B74" i="3"/>
  <c r="C74" i="3" s="1"/>
  <c r="B73" i="3"/>
  <c r="C73" i="3" s="1"/>
  <c r="B72" i="3"/>
  <c r="C72" i="3" s="1"/>
  <c r="B71" i="3"/>
  <c r="C71" i="3" s="1"/>
  <c r="B70" i="3"/>
  <c r="C70" i="3" s="1"/>
  <c r="B69" i="3"/>
  <c r="C69" i="3" s="1"/>
  <c r="B68" i="3"/>
  <c r="C68" i="3" s="1"/>
  <c r="B67" i="3"/>
  <c r="C67" i="3" s="1"/>
  <c r="B66" i="3"/>
  <c r="C66" i="3" s="1"/>
  <c r="B65" i="3"/>
  <c r="C65" i="3" s="1"/>
  <c r="B64" i="3"/>
  <c r="C64" i="3" s="1"/>
  <c r="B63" i="3"/>
  <c r="C63" i="3" s="1"/>
  <c r="B62" i="3"/>
  <c r="C62" i="3" s="1"/>
  <c r="B61" i="3"/>
  <c r="C61" i="3" s="1"/>
  <c r="B60" i="3"/>
  <c r="C60" i="3" s="1"/>
  <c r="B59" i="3"/>
  <c r="C59" i="3" s="1"/>
  <c r="B58" i="3"/>
  <c r="C58" i="3" s="1"/>
  <c r="B57" i="3"/>
  <c r="C57" i="3" s="1"/>
  <c r="B56" i="3"/>
  <c r="C56" i="3" s="1"/>
  <c r="B55" i="3"/>
  <c r="C55" i="3" s="1"/>
  <c r="B54" i="3"/>
  <c r="C54" i="3" s="1"/>
  <c r="B53" i="3"/>
  <c r="C53" i="3" s="1"/>
  <c r="B52" i="3"/>
  <c r="C52" i="3" s="1"/>
  <c r="B51" i="3"/>
  <c r="C51" i="3" s="1"/>
  <c r="B50" i="3"/>
  <c r="C50" i="3" s="1"/>
  <c r="B49" i="3"/>
  <c r="C49" i="3" s="1"/>
  <c r="B48" i="3"/>
  <c r="C48" i="3" s="1"/>
  <c r="B47" i="3"/>
  <c r="C47" i="3" s="1"/>
  <c r="B46" i="3"/>
  <c r="C46" i="3" s="1"/>
  <c r="B45" i="3"/>
  <c r="C45" i="3" s="1"/>
  <c r="B44" i="3"/>
  <c r="C44" i="3" s="1"/>
  <c r="B43" i="3"/>
  <c r="C43" i="3" s="1"/>
  <c r="B42" i="3"/>
  <c r="B41" i="3"/>
  <c r="C41" i="3" s="1"/>
  <c r="B40" i="3"/>
  <c r="C40" i="3" s="1"/>
  <c r="B39" i="3"/>
  <c r="C39" i="3" s="1"/>
  <c r="B38" i="3"/>
  <c r="C38" i="3" s="1"/>
  <c r="B37" i="3"/>
  <c r="C37" i="3" s="1"/>
  <c r="B36" i="3"/>
  <c r="C36" i="3" s="1"/>
  <c r="B35" i="3"/>
  <c r="C35" i="3" s="1"/>
  <c r="B34" i="3"/>
  <c r="C34" i="3" s="1"/>
  <c r="B33" i="3"/>
  <c r="C33" i="3" s="1"/>
  <c r="B32" i="3"/>
  <c r="C32" i="3" s="1"/>
  <c r="B14" i="3"/>
  <c r="C14" i="3" s="1"/>
  <c r="B13" i="3"/>
  <c r="B6" i="3"/>
  <c r="H5" i="1" s="1"/>
  <c r="B5" i="3"/>
  <c r="B4" i="3"/>
  <c r="B7" i="3" s="1"/>
  <c r="B3" i="3"/>
  <c r="M950" i="2"/>
  <c r="L950" i="2"/>
  <c r="M949" i="2"/>
  <c r="L949" i="2"/>
  <c r="M948" i="2"/>
  <c r="L948" i="2"/>
  <c r="M947" i="2"/>
  <c r="L947" i="2"/>
  <c r="M946" i="2"/>
  <c r="L946" i="2"/>
  <c r="M945" i="2"/>
  <c r="L945" i="2"/>
  <c r="M944" i="2"/>
  <c r="L944" i="2"/>
  <c r="M943" i="2"/>
  <c r="L943" i="2"/>
  <c r="M942" i="2"/>
  <c r="L942" i="2"/>
  <c r="M941" i="2"/>
  <c r="L941" i="2"/>
  <c r="M940" i="2"/>
  <c r="L940" i="2"/>
  <c r="M939" i="2"/>
  <c r="L939" i="2"/>
  <c r="M938" i="2"/>
  <c r="L938" i="2"/>
  <c r="M937" i="2"/>
  <c r="L937" i="2"/>
  <c r="M936" i="2"/>
  <c r="L936" i="2"/>
  <c r="M935" i="2"/>
  <c r="L935" i="2"/>
  <c r="M934" i="2"/>
  <c r="L934" i="2"/>
  <c r="M933" i="2"/>
  <c r="L933" i="2"/>
  <c r="M932" i="2"/>
  <c r="L932" i="2"/>
  <c r="M931" i="2"/>
  <c r="L931" i="2"/>
  <c r="M930" i="2"/>
  <c r="L930" i="2"/>
  <c r="M929" i="2"/>
  <c r="L929" i="2"/>
  <c r="M928" i="2"/>
  <c r="L928" i="2"/>
  <c r="M927" i="2"/>
  <c r="L927" i="2"/>
  <c r="M926" i="2"/>
  <c r="L926" i="2"/>
  <c r="M925" i="2"/>
  <c r="L925" i="2"/>
  <c r="M924" i="2"/>
  <c r="L924" i="2"/>
  <c r="M923" i="2"/>
  <c r="L923" i="2"/>
  <c r="M922" i="2"/>
  <c r="L922" i="2"/>
  <c r="M921" i="2"/>
  <c r="L921" i="2"/>
  <c r="M920" i="2"/>
  <c r="L920" i="2"/>
  <c r="M919" i="2"/>
  <c r="L919" i="2"/>
  <c r="M918" i="2"/>
  <c r="L918" i="2"/>
  <c r="M917" i="2"/>
  <c r="L917" i="2"/>
  <c r="M916" i="2"/>
  <c r="L916" i="2"/>
  <c r="M915" i="2"/>
  <c r="L915" i="2"/>
  <c r="M914" i="2"/>
  <c r="L914" i="2"/>
  <c r="M913" i="2"/>
  <c r="L913" i="2"/>
  <c r="M912" i="2"/>
  <c r="L912" i="2"/>
  <c r="M911" i="2"/>
  <c r="L911" i="2"/>
  <c r="M910" i="2"/>
  <c r="L910" i="2"/>
  <c r="M909" i="2"/>
  <c r="L909" i="2"/>
  <c r="M908" i="2"/>
  <c r="L908" i="2"/>
  <c r="M907" i="2"/>
  <c r="L907" i="2"/>
  <c r="M906" i="2"/>
  <c r="L906" i="2"/>
  <c r="M905" i="2"/>
  <c r="L905" i="2"/>
  <c r="M904" i="2"/>
  <c r="L904" i="2"/>
  <c r="M903" i="2"/>
  <c r="L903" i="2"/>
  <c r="M902" i="2"/>
  <c r="L902" i="2"/>
  <c r="M901" i="2"/>
  <c r="L901" i="2"/>
  <c r="M900" i="2"/>
  <c r="L900" i="2"/>
  <c r="M899" i="2"/>
  <c r="L899" i="2"/>
  <c r="M898" i="2"/>
  <c r="L898" i="2"/>
  <c r="M897" i="2"/>
  <c r="L897" i="2"/>
  <c r="M896" i="2"/>
  <c r="L896" i="2"/>
  <c r="M895" i="2"/>
  <c r="L895" i="2"/>
  <c r="M894" i="2"/>
  <c r="L894" i="2"/>
  <c r="M893" i="2"/>
  <c r="L893" i="2"/>
  <c r="M892" i="2"/>
  <c r="L892" i="2"/>
  <c r="M891" i="2"/>
  <c r="L891" i="2"/>
  <c r="M890" i="2"/>
  <c r="L890" i="2"/>
  <c r="M889" i="2"/>
  <c r="L889" i="2"/>
  <c r="M888" i="2"/>
  <c r="L888" i="2"/>
  <c r="M887" i="2"/>
  <c r="L887" i="2"/>
  <c r="M886" i="2"/>
  <c r="L886" i="2"/>
  <c r="M885" i="2"/>
  <c r="L885" i="2"/>
  <c r="M884" i="2"/>
  <c r="L884" i="2"/>
  <c r="M883" i="2"/>
  <c r="L883" i="2"/>
  <c r="M882" i="2"/>
  <c r="L882" i="2"/>
  <c r="M881" i="2"/>
  <c r="L881" i="2"/>
  <c r="M880" i="2"/>
  <c r="L880" i="2"/>
  <c r="M879" i="2"/>
  <c r="L879" i="2"/>
  <c r="M878" i="2"/>
  <c r="L878" i="2"/>
  <c r="M877" i="2"/>
  <c r="L877" i="2"/>
  <c r="M876" i="2"/>
  <c r="L876" i="2"/>
  <c r="M875" i="2"/>
  <c r="L875" i="2"/>
  <c r="M874" i="2"/>
  <c r="L874" i="2"/>
  <c r="M873" i="2"/>
  <c r="L873" i="2"/>
  <c r="M872" i="2"/>
  <c r="L872" i="2"/>
  <c r="M871" i="2"/>
  <c r="L871" i="2"/>
  <c r="M870" i="2"/>
  <c r="L870" i="2"/>
  <c r="M869" i="2"/>
  <c r="L869" i="2"/>
  <c r="M868" i="2"/>
  <c r="L868" i="2"/>
  <c r="M867" i="2"/>
  <c r="L867" i="2"/>
  <c r="M866" i="2"/>
  <c r="L866" i="2"/>
  <c r="M865" i="2"/>
  <c r="L865" i="2"/>
  <c r="M864" i="2"/>
  <c r="L864" i="2"/>
  <c r="M863" i="2"/>
  <c r="L863" i="2"/>
  <c r="M862" i="2"/>
  <c r="L862" i="2"/>
  <c r="M861" i="2"/>
  <c r="L861" i="2"/>
  <c r="M860" i="2"/>
  <c r="L860" i="2"/>
  <c r="M859" i="2"/>
  <c r="L859" i="2"/>
  <c r="M858" i="2"/>
  <c r="L858" i="2"/>
  <c r="M857" i="2"/>
  <c r="L857" i="2"/>
  <c r="M856" i="2"/>
  <c r="L856" i="2"/>
  <c r="M855" i="2"/>
  <c r="L855" i="2"/>
  <c r="M854" i="2"/>
  <c r="L854" i="2"/>
  <c r="M853" i="2"/>
  <c r="L853" i="2"/>
  <c r="M852" i="2"/>
  <c r="L852" i="2"/>
  <c r="M851" i="2"/>
  <c r="L851" i="2"/>
  <c r="M850" i="2"/>
  <c r="L850" i="2"/>
  <c r="M849" i="2"/>
  <c r="L849" i="2"/>
  <c r="M848" i="2"/>
  <c r="L848" i="2"/>
  <c r="M847" i="2"/>
  <c r="L847" i="2"/>
  <c r="M846" i="2"/>
  <c r="L846" i="2"/>
  <c r="M845" i="2"/>
  <c r="L845" i="2"/>
  <c r="M844" i="2"/>
  <c r="L844" i="2"/>
  <c r="M843" i="2"/>
  <c r="L843" i="2"/>
  <c r="M842" i="2"/>
  <c r="L842" i="2"/>
  <c r="M841" i="2"/>
  <c r="L841" i="2"/>
  <c r="M840" i="2"/>
  <c r="L840" i="2"/>
  <c r="M839" i="2"/>
  <c r="L839" i="2"/>
  <c r="M838" i="2"/>
  <c r="L838" i="2"/>
  <c r="M837" i="2"/>
  <c r="L837" i="2"/>
  <c r="M836" i="2"/>
  <c r="L836" i="2"/>
  <c r="M835" i="2"/>
  <c r="L835" i="2"/>
  <c r="M834" i="2"/>
  <c r="L834" i="2"/>
  <c r="M833" i="2"/>
  <c r="L833" i="2"/>
  <c r="M832" i="2"/>
  <c r="L832" i="2"/>
  <c r="M831" i="2"/>
  <c r="L831" i="2"/>
  <c r="M830" i="2"/>
  <c r="L830" i="2"/>
  <c r="M829" i="2"/>
  <c r="L829" i="2"/>
  <c r="M828" i="2"/>
  <c r="L828" i="2"/>
  <c r="M827" i="2"/>
  <c r="L827" i="2"/>
  <c r="M826" i="2"/>
  <c r="L826" i="2"/>
  <c r="M825" i="2"/>
  <c r="L825" i="2"/>
  <c r="M824" i="2"/>
  <c r="L824" i="2"/>
  <c r="M823" i="2"/>
  <c r="L823" i="2"/>
  <c r="M822" i="2"/>
  <c r="L822" i="2"/>
  <c r="M821" i="2"/>
  <c r="L821" i="2"/>
  <c r="M820" i="2"/>
  <c r="L820" i="2"/>
  <c r="M819" i="2"/>
  <c r="L819" i="2"/>
  <c r="M818" i="2"/>
  <c r="L818" i="2"/>
  <c r="M817" i="2"/>
  <c r="L817" i="2"/>
  <c r="M816" i="2"/>
  <c r="L816" i="2"/>
  <c r="M815" i="2"/>
  <c r="L815" i="2"/>
  <c r="M814" i="2"/>
  <c r="L814" i="2"/>
  <c r="M813" i="2"/>
  <c r="L813" i="2"/>
  <c r="M812" i="2"/>
  <c r="L812" i="2"/>
  <c r="M811" i="2"/>
  <c r="L811" i="2"/>
  <c r="M810" i="2"/>
  <c r="L810" i="2"/>
  <c r="M809" i="2"/>
  <c r="L809" i="2"/>
  <c r="M808" i="2"/>
  <c r="L808" i="2"/>
  <c r="M807" i="2"/>
  <c r="L807" i="2"/>
  <c r="M806" i="2"/>
  <c r="L806" i="2"/>
  <c r="M805" i="2"/>
  <c r="L805" i="2"/>
  <c r="M804" i="2"/>
  <c r="L804" i="2"/>
  <c r="M803" i="2"/>
  <c r="L803" i="2"/>
  <c r="M802" i="2"/>
  <c r="L802" i="2"/>
  <c r="M801" i="2"/>
  <c r="L801" i="2"/>
  <c r="M800" i="2"/>
  <c r="L800" i="2"/>
  <c r="M799" i="2"/>
  <c r="L799" i="2"/>
  <c r="M798" i="2"/>
  <c r="L798" i="2"/>
  <c r="M797" i="2"/>
  <c r="L797" i="2"/>
  <c r="M796" i="2"/>
  <c r="L796" i="2"/>
  <c r="M795" i="2"/>
  <c r="L795" i="2"/>
  <c r="M794" i="2"/>
  <c r="L794" i="2"/>
  <c r="M793" i="2"/>
  <c r="L793" i="2"/>
  <c r="M792" i="2"/>
  <c r="L792" i="2"/>
  <c r="M791" i="2"/>
  <c r="L791" i="2"/>
  <c r="M790" i="2"/>
  <c r="L790" i="2"/>
  <c r="M789" i="2"/>
  <c r="L789" i="2"/>
  <c r="M788" i="2"/>
  <c r="L788" i="2"/>
  <c r="M787" i="2"/>
  <c r="L787" i="2"/>
  <c r="M786" i="2"/>
  <c r="L786" i="2"/>
  <c r="M785" i="2"/>
  <c r="L785" i="2"/>
  <c r="M784" i="2"/>
  <c r="L784" i="2"/>
  <c r="M783" i="2"/>
  <c r="L783" i="2"/>
  <c r="M782" i="2"/>
  <c r="L782" i="2"/>
  <c r="M781" i="2"/>
  <c r="L781" i="2"/>
  <c r="M780" i="2"/>
  <c r="L780" i="2"/>
  <c r="M779" i="2"/>
  <c r="L779" i="2"/>
  <c r="M778" i="2"/>
  <c r="L778" i="2"/>
  <c r="M777" i="2"/>
  <c r="L777" i="2"/>
  <c r="M776" i="2"/>
  <c r="L776" i="2"/>
  <c r="M775" i="2"/>
  <c r="L775" i="2"/>
  <c r="M774" i="2"/>
  <c r="L774" i="2"/>
  <c r="M773" i="2"/>
  <c r="L773" i="2"/>
  <c r="M772" i="2"/>
  <c r="L772" i="2"/>
  <c r="M771" i="2"/>
  <c r="L771" i="2"/>
  <c r="M770" i="2"/>
  <c r="L770" i="2"/>
  <c r="M769" i="2"/>
  <c r="L769" i="2"/>
  <c r="M768" i="2"/>
  <c r="L768" i="2"/>
  <c r="M767" i="2"/>
  <c r="L767" i="2"/>
  <c r="M766" i="2"/>
  <c r="L766" i="2"/>
  <c r="M765" i="2"/>
  <c r="L765" i="2"/>
  <c r="M764" i="2"/>
  <c r="L764" i="2"/>
  <c r="M763" i="2"/>
  <c r="L763" i="2"/>
  <c r="M762" i="2"/>
  <c r="L762" i="2"/>
  <c r="M761" i="2"/>
  <c r="L761" i="2"/>
  <c r="M760" i="2"/>
  <c r="L760" i="2"/>
  <c r="M759" i="2"/>
  <c r="L759" i="2"/>
  <c r="M758" i="2"/>
  <c r="L758" i="2"/>
  <c r="M757" i="2"/>
  <c r="L757" i="2"/>
  <c r="M756" i="2"/>
  <c r="L756" i="2"/>
  <c r="M755" i="2"/>
  <c r="L755" i="2"/>
  <c r="M754" i="2"/>
  <c r="L754" i="2"/>
  <c r="M753" i="2"/>
  <c r="L753" i="2"/>
  <c r="M752" i="2"/>
  <c r="L752" i="2"/>
  <c r="M751" i="2"/>
  <c r="L751" i="2"/>
  <c r="M750" i="2"/>
  <c r="L750" i="2"/>
  <c r="M749" i="2"/>
  <c r="L749" i="2"/>
  <c r="M748" i="2"/>
  <c r="L748" i="2"/>
  <c r="M747" i="2"/>
  <c r="L747" i="2"/>
  <c r="M746" i="2"/>
  <c r="L746" i="2"/>
  <c r="M745" i="2"/>
  <c r="L745" i="2"/>
  <c r="M744" i="2"/>
  <c r="L744" i="2"/>
  <c r="M743" i="2"/>
  <c r="L743" i="2"/>
  <c r="M742" i="2"/>
  <c r="L742" i="2"/>
  <c r="M741" i="2"/>
  <c r="L741" i="2"/>
  <c r="M740" i="2"/>
  <c r="L740" i="2"/>
  <c r="M739" i="2"/>
  <c r="L739" i="2"/>
  <c r="M738" i="2"/>
  <c r="L738" i="2"/>
  <c r="M737" i="2"/>
  <c r="L737" i="2"/>
  <c r="M736" i="2"/>
  <c r="L736" i="2"/>
  <c r="M735" i="2"/>
  <c r="L735" i="2"/>
  <c r="M734" i="2"/>
  <c r="L734" i="2"/>
  <c r="M733" i="2"/>
  <c r="L733" i="2"/>
  <c r="M732" i="2"/>
  <c r="L732" i="2"/>
  <c r="M731" i="2"/>
  <c r="L731" i="2"/>
  <c r="M730" i="2"/>
  <c r="L730" i="2"/>
  <c r="M729" i="2"/>
  <c r="L729" i="2"/>
  <c r="M728" i="2"/>
  <c r="L728" i="2"/>
  <c r="M727" i="2"/>
  <c r="L727" i="2"/>
  <c r="M726" i="2"/>
  <c r="L726" i="2"/>
  <c r="M725" i="2"/>
  <c r="L725" i="2"/>
  <c r="M724" i="2"/>
  <c r="L724" i="2"/>
  <c r="M723" i="2"/>
  <c r="L723" i="2"/>
  <c r="M722" i="2"/>
  <c r="L722" i="2"/>
  <c r="M721" i="2"/>
  <c r="L721" i="2"/>
  <c r="M720" i="2"/>
  <c r="L720" i="2"/>
  <c r="M719" i="2"/>
  <c r="L719" i="2"/>
  <c r="M718" i="2"/>
  <c r="L718" i="2"/>
  <c r="M717" i="2"/>
  <c r="L717" i="2"/>
  <c r="M716" i="2"/>
  <c r="L716" i="2"/>
  <c r="M715" i="2"/>
  <c r="L715" i="2"/>
  <c r="M714" i="2"/>
  <c r="L714" i="2"/>
  <c r="M713" i="2"/>
  <c r="L713" i="2"/>
  <c r="M712" i="2"/>
  <c r="L712" i="2"/>
  <c r="M711" i="2"/>
  <c r="L711" i="2"/>
  <c r="M710" i="2"/>
  <c r="L710" i="2"/>
  <c r="M709" i="2"/>
  <c r="L709" i="2"/>
  <c r="M708" i="2"/>
  <c r="L708" i="2"/>
  <c r="M707" i="2"/>
  <c r="L707" i="2"/>
  <c r="M706" i="2"/>
  <c r="L706" i="2"/>
  <c r="M705" i="2"/>
  <c r="L705" i="2"/>
  <c r="M704" i="2"/>
  <c r="L704" i="2"/>
  <c r="M703" i="2"/>
  <c r="L703" i="2"/>
  <c r="M702" i="2"/>
  <c r="L702" i="2"/>
  <c r="M701" i="2"/>
  <c r="L701" i="2"/>
  <c r="M700" i="2"/>
  <c r="L700" i="2"/>
  <c r="M699" i="2"/>
  <c r="L699" i="2"/>
  <c r="M698" i="2"/>
  <c r="L698" i="2"/>
  <c r="M697" i="2"/>
  <c r="L697" i="2"/>
  <c r="M696" i="2"/>
  <c r="L696" i="2"/>
  <c r="M695" i="2"/>
  <c r="L695" i="2"/>
  <c r="M694" i="2"/>
  <c r="L694" i="2"/>
  <c r="M693" i="2"/>
  <c r="L693" i="2"/>
  <c r="M692" i="2"/>
  <c r="L692" i="2"/>
  <c r="M691" i="2"/>
  <c r="L691" i="2"/>
  <c r="M690" i="2"/>
  <c r="L690" i="2"/>
  <c r="M689" i="2"/>
  <c r="L689" i="2"/>
  <c r="M688" i="2"/>
  <c r="L688" i="2"/>
  <c r="M687" i="2"/>
  <c r="L687" i="2"/>
  <c r="M686" i="2"/>
  <c r="L686" i="2"/>
  <c r="M685" i="2"/>
  <c r="L685" i="2"/>
  <c r="M684" i="2"/>
  <c r="L684" i="2"/>
  <c r="M683" i="2"/>
  <c r="L683" i="2"/>
  <c r="M682" i="2"/>
  <c r="L682" i="2"/>
  <c r="M681" i="2"/>
  <c r="L681" i="2"/>
  <c r="M680" i="2"/>
  <c r="L680" i="2"/>
  <c r="M679" i="2"/>
  <c r="L679" i="2"/>
  <c r="M678" i="2"/>
  <c r="L678" i="2"/>
  <c r="M677" i="2"/>
  <c r="L677" i="2"/>
  <c r="M676" i="2"/>
  <c r="L676" i="2"/>
  <c r="M675" i="2"/>
  <c r="L675" i="2"/>
  <c r="M674" i="2"/>
  <c r="L674" i="2"/>
  <c r="M673" i="2"/>
  <c r="L673" i="2"/>
  <c r="M672" i="2"/>
  <c r="L672" i="2"/>
  <c r="M671" i="2"/>
  <c r="L671" i="2"/>
  <c r="M670" i="2"/>
  <c r="L670" i="2"/>
  <c r="M669" i="2"/>
  <c r="L669" i="2"/>
  <c r="M668" i="2"/>
  <c r="L668" i="2"/>
  <c r="M667" i="2"/>
  <c r="L667" i="2"/>
  <c r="M666" i="2"/>
  <c r="L666" i="2"/>
  <c r="M665" i="2"/>
  <c r="L665" i="2"/>
  <c r="M664" i="2"/>
  <c r="L664" i="2"/>
  <c r="M663" i="2"/>
  <c r="L663" i="2"/>
  <c r="M662" i="2"/>
  <c r="L662" i="2"/>
  <c r="M661" i="2"/>
  <c r="L661" i="2"/>
  <c r="M660" i="2"/>
  <c r="L660" i="2"/>
  <c r="M659" i="2"/>
  <c r="L659" i="2"/>
  <c r="M658" i="2"/>
  <c r="L658" i="2"/>
  <c r="M657" i="2"/>
  <c r="L657" i="2"/>
  <c r="M656" i="2"/>
  <c r="L656" i="2"/>
  <c r="M655" i="2"/>
  <c r="L655" i="2"/>
  <c r="M654" i="2"/>
  <c r="L654" i="2"/>
  <c r="M653" i="2"/>
  <c r="L653" i="2"/>
  <c r="M652" i="2"/>
  <c r="L652" i="2"/>
  <c r="M651" i="2"/>
  <c r="L651" i="2"/>
  <c r="M650" i="2"/>
  <c r="L650" i="2"/>
  <c r="M649" i="2"/>
  <c r="L649" i="2"/>
  <c r="M648" i="2"/>
  <c r="B27" i="3" s="1"/>
  <c r="L648" i="2"/>
  <c r="M647" i="2"/>
  <c r="L647" i="2"/>
  <c r="M646" i="2"/>
  <c r="L646" i="2"/>
  <c r="M645" i="2"/>
  <c r="L645" i="2"/>
  <c r="M644" i="2"/>
  <c r="L644" i="2"/>
  <c r="M643" i="2"/>
  <c r="L643" i="2"/>
  <c r="M642" i="2"/>
  <c r="L642" i="2"/>
  <c r="M641" i="2"/>
  <c r="L641" i="2"/>
  <c r="M640" i="2"/>
  <c r="L640" i="2"/>
  <c r="M639" i="2"/>
  <c r="L639" i="2"/>
  <c r="M638" i="2"/>
  <c r="L638" i="2"/>
  <c r="M637" i="2"/>
  <c r="L637" i="2"/>
  <c r="M636" i="2"/>
  <c r="L636" i="2"/>
  <c r="M635" i="2"/>
  <c r="L635" i="2"/>
  <c r="M634" i="2"/>
  <c r="L634" i="2"/>
  <c r="M633" i="2"/>
  <c r="L633" i="2"/>
  <c r="M632" i="2"/>
  <c r="L632" i="2"/>
  <c r="M631" i="2"/>
  <c r="L631" i="2"/>
  <c r="M630" i="2"/>
  <c r="L630" i="2"/>
  <c r="M629" i="2"/>
  <c r="L629" i="2"/>
  <c r="M628" i="2"/>
  <c r="L628" i="2"/>
  <c r="M627" i="2"/>
  <c r="L627" i="2"/>
  <c r="M626" i="2"/>
  <c r="L626" i="2"/>
  <c r="M625" i="2"/>
  <c r="L625" i="2"/>
  <c r="M624" i="2"/>
  <c r="L624" i="2"/>
  <c r="M623" i="2"/>
  <c r="L623" i="2"/>
  <c r="M622" i="2"/>
  <c r="L622" i="2"/>
  <c r="M621" i="2"/>
  <c r="L621" i="2"/>
  <c r="M620" i="2"/>
  <c r="L620" i="2"/>
  <c r="M619" i="2"/>
  <c r="L619" i="2"/>
  <c r="M618" i="2"/>
  <c r="L618" i="2"/>
  <c r="M617" i="2"/>
  <c r="L617" i="2"/>
  <c r="M616" i="2"/>
  <c r="L616" i="2"/>
  <c r="M615" i="2"/>
  <c r="L615" i="2"/>
  <c r="M614" i="2"/>
  <c r="L614" i="2"/>
  <c r="M613" i="2"/>
  <c r="L613" i="2"/>
  <c r="M612" i="2"/>
  <c r="L612" i="2"/>
  <c r="M611" i="2"/>
  <c r="L611" i="2"/>
  <c r="M610" i="2"/>
  <c r="L610" i="2"/>
  <c r="M609" i="2"/>
  <c r="L609" i="2"/>
  <c r="M608" i="2"/>
  <c r="L608" i="2"/>
  <c r="M607" i="2"/>
  <c r="L607" i="2"/>
  <c r="M606" i="2"/>
  <c r="L606" i="2"/>
  <c r="M605" i="2"/>
  <c r="L605" i="2"/>
  <c r="M604" i="2"/>
  <c r="L604" i="2"/>
  <c r="M603" i="2"/>
  <c r="L603" i="2"/>
  <c r="M602" i="2"/>
  <c r="L602" i="2"/>
  <c r="M601" i="2"/>
  <c r="L601" i="2"/>
  <c r="M600" i="2"/>
  <c r="L600" i="2"/>
  <c r="M599" i="2"/>
  <c r="L599" i="2"/>
  <c r="M598" i="2"/>
  <c r="L598" i="2"/>
  <c r="M597" i="2"/>
  <c r="L597" i="2"/>
  <c r="M596" i="2"/>
  <c r="L596" i="2"/>
  <c r="M595" i="2"/>
  <c r="L595" i="2"/>
  <c r="M594" i="2"/>
  <c r="L594" i="2"/>
  <c r="M593" i="2"/>
  <c r="L593" i="2"/>
  <c r="M592" i="2"/>
  <c r="L592" i="2"/>
  <c r="M591" i="2"/>
  <c r="L591" i="2"/>
  <c r="M590" i="2"/>
  <c r="L590" i="2"/>
  <c r="M589" i="2"/>
  <c r="L589" i="2"/>
  <c r="M588" i="2"/>
  <c r="L588" i="2"/>
  <c r="M587" i="2"/>
  <c r="L587" i="2"/>
  <c r="M586" i="2"/>
  <c r="L586" i="2"/>
  <c r="M585" i="2"/>
  <c r="L585" i="2"/>
  <c r="M584" i="2"/>
  <c r="L584" i="2"/>
  <c r="M583" i="2"/>
  <c r="L583" i="2"/>
  <c r="M582" i="2"/>
  <c r="L582" i="2"/>
  <c r="M581" i="2"/>
  <c r="L581" i="2"/>
  <c r="M580" i="2"/>
  <c r="L580" i="2"/>
  <c r="M579" i="2"/>
  <c r="L579" i="2"/>
  <c r="M578" i="2"/>
  <c r="L578" i="2"/>
  <c r="M577" i="2"/>
  <c r="L577" i="2"/>
  <c r="M576" i="2"/>
  <c r="L576" i="2"/>
  <c r="M575" i="2"/>
  <c r="L575" i="2"/>
  <c r="M574" i="2"/>
  <c r="L574" i="2"/>
  <c r="M573" i="2"/>
  <c r="L573" i="2"/>
  <c r="M572" i="2"/>
  <c r="L572" i="2"/>
  <c r="M571" i="2"/>
  <c r="L571" i="2"/>
  <c r="M570" i="2"/>
  <c r="L570" i="2"/>
  <c r="M569" i="2"/>
  <c r="L569" i="2"/>
  <c r="M568" i="2"/>
  <c r="L568" i="2"/>
  <c r="M567" i="2"/>
  <c r="L567" i="2"/>
  <c r="M566" i="2"/>
  <c r="L566" i="2"/>
  <c r="M565" i="2"/>
  <c r="L565" i="2"/>
  <c r="M564" i="2"/>
  <c r="L564" i="2"/>
  <c r="M563" i="2"/>
  <c r="L563" i="2"/>
  <c r="M562" i="2"/>
  <c r="L562" i="2"/>
  <c r="M561" i="2"/>
  <c r="L561" i="2"/>
  <c r="M560" i="2"/>
  <c r="L560" i="2"/>
  <c r="M559" i="2"/>
  <c r="L559" i="2"/>
  <c r="M558" i="2"/>
  <c r="L558" i="2"/>
  <c r="M557" i="2"/>
  <c r="L557" i="2"/>
  <c r="M556" i="2"/>
  <c r="L556" i="2"/>
  <c r="M555" i="2"/>
  <c r="L555" i="2"/>
  <c r="M554" i="2"/>
  <c r="L554" i="2"/>
  <c r="M553" i="2"/>
  <c r="L553" i="2"/>
  <c r="M552" i="2"/>
  <c r="L552" i="2"/>
  <c r="M551" i="2"/>
  <c r="L551" i="2"/>
  <c r="M550" i="2"/>
  <c r="L550" i="2"/>
  <c r="M549" i="2"/>
  <c r="L549" i="2"/>
  <c r="M548" i="2"/>
  <c r="L548" i="2"/>
  <c r="M547" i="2"/>
  <c r="L547" i="2"/>
  <c r="M546" i="2"/>
  <c r="L546" i="2"/>
  <c r="M545" i="2"/>
  <c r="L545" i="2"/>
  <c r="M544" i="2"/>
  <c r="L544" i="2"/>
  <c r="M543" i="2"/>
  <c r="L543" i="2"/>
  <c r="M542" i="2"/>
  <c r="L542" i="2"/>
  <c r="M541" i="2"/>
  <c r="L541" i="2"/>
  <c r="M540" i="2"/>
  <c r="L540" i="2"/>
  <c r="M539" i="2"/>
  <c r="L539" i="2"/>
  <c r="M538" i="2"/>
  <c r="L538" i="2"/>
  <c r="M537" i="2"/>
  <c r="L537" i="2"/>
  <c r="M536" i="2"/>
  <c r="L536" i="2"/>
  <c r="M535" i="2"/>
  <c r="L535" i="2"/>
  <c r="M534" i="2"/>
  <c r="L534" i="2"/>
  <c r="M533" i="2"/>
  <c r="L533" i="2"/>
  <c r="M532" i="2"/>
  <c r="L532" i="2"/>
  <c r="M531" i="2"/>
  <c r="L531" i="2"/>
  <c r="M530" i="2"/>
  <c r="L530" i="2"/>
  <c r="M529" i="2"/>
  <c r="L529" i="2"/>
  <c r="M528" i="2"/>
  <c r="L528" i="2"/>
  <c r="M527" i="2"/>
  <c r="L527" i="2"/>
  <c r="M526" i="2"/>
  <c r="L526" i="2"/>
  <c r="M525" i="2"/>
  <c r="L525" i="2"/>
  <c r="M524" i="2"/>
  <c r="L524" i="2"/>
  <c r="M523" i="2"/>
  <c r="L523" i="2"/>
  <c r="M522" i="2"/>
  <c r="L522" i="2"/>
  <c r="M521" i="2"/>
  <c r="L521" i="2"/>
  <c r="M520" i="2"/>
  <c r="L520" i="2"/>
  <c r="M519" i="2"/>
  <c r="L519" i="2"/>
  <c r="M518" i="2"/>
  <c r="L518" i="2"/>
  <c r="M517" i="2"/>
  <c r="L517" i="2"/>
  <c r="M516" i="2"/>
  <c r="L516" i="2"/>
  <c r="M515" i="2"/>
  <c r="L515" i="2"/>
  <c r="M514" i="2"/>
  <c r="L514" i="2"/>
  <c r="M513" i="2"/>
  <c r="L513" i="2"/>
  <c r="M512" i="2"/>
  <c r="L512" i="2"/>
  <c r="M511" i="2"/>
  <c r="L511" i="2"/>
  <c r="M510" i="2"/>
  <c r="L510" i="2"/>
  <c r="M509" i="2"/>
  <c r="L509" i="2"/>
  <c r="M508" i="2"/>
  <c r="L508" i="2"/>
  <c r="M507" i="2"/>
  <c r="L507" i="2"/>
  <c r="M506" i="2"/>
  <c r="L506" i="2"/>
  <c r="M505" i="2"/>
  <c r="L505" i="2"/>
  <c r="M504" i="2"/>
  <c r="L504" i="2"/>
  <c r="M503" i="2"/>
  <c r="L503" i="2"/>
  <c r="M502" i="2"/>
  <c r="L502" i="2"/>
  <c r="M501" i="2"/>
  <c r="L501" i="2"/>
  <c r="M500" i="2"/>
  <c r="L500" i="2"/>
  <c r="M499" i="2"/>
  <c r="L499" i="2"/>
  <c r="M498" i="2"/>
  <c r="L498" i="2"/>
  <c r="M497" i="2"/>
  <c r="L497" i="2"/>
  <c r="M496" i="2"/>
  <c r="L496" i="2"/>
  <c r="M495" i="2"/>
  <c r="L495" i="2"/>
  <c r="M494" i="2"/>
  <c r="L494" i="2"/>
  <c r="M493" i="2"/>
  <c r="L493" i="2"/>
  <c r="M492" i="2"/>
  <c r="L492" i="2"/>
  <c r="M491" i="2"/>
  <c r="L491" i="2"/>
  <c r="M490" i="2"/>
  <c r="L490" i="2"/>
  <c r="M489" i="2"/>
  <c r="L489" i="2"/>
  <c r="M488" i="2"/>
  <c r="L488" i="2"/>
  <c r="M487" i="2"/>
  <c r="L487" i="2"/>
  <c r="M486" i="2"/>
  <c r="L486" i="2"/>
  <c r="M485" i="2"/>
  <c r="L485" i="2"/>
  <c r="M484" i="2"/>
  <c r="L484" i="2"/>
  <c r="M483" i="2"/>
  <c r="L483" i="2"/>
  <c r="M482" i="2"/>
  <c r="L482" i="2"/>
  <c r="M481" i="2"/>
  <c r="L481" i="2"/>
  <c r="M480" i="2"/>
  <c r="L480" i="2"/>
  <c r="M479" i="2"/>
  <c r="L479" i="2"/>
  <c r="M478" i="2"/>
  <c r="L478" i="2"/>
  <c r="M477" i="2"/>
  <c r="L477" i="2"/>
  <c r="M476" i="2"/>
  <c r="L476" i="2"/>
  <c r="M475" i="2"/>
  <c r="L475" i="2"/>
  <c r="M474" i="2"/>
  <c r="L474" i="2"/>
  <c r="M473" i="2"/>
  <c r="L473" i="2"/>
  <c r="M472" i="2"/>
  <c r="L472" i="2"/>
  <c r="M471" i="2"/>
  <c r="L471" i="2"/>
  <c r="M470" i="2"/>
  <c r="L470" i="2"/>
  <c r="M469" i="2"/>
  <c r="L469" i="2"/>
  <c r="M468" i="2"/>
  <c r="L468" i="2"/>
  <c r="M467" i="2"/>
  <c r="L467" i="2"/>
  <c r="M466" i="2"/>
  <c r="L466" i="2"/>
  <c r="M465" i="2"/>
  <c r="L465" i="2"/>
  <c r="M464" i="2"/>
  <c r="L464" i="2"/>
  <c r="M463" i="2"/>
  <c r="L463" i="2"/>
  <c r="M462" i="2"/>
  <c r="L462" i="2"/>
  <c r="M461" i="2"/>
  <c r="L461" i="2"/>
  <c r="M460" i="2"/>
  <c r="L460" i="2"/>
  <c r="M459" i="2"/>
  <c r="L459" i="2"/>
  <c r="M458" i="2"/>
  <c r="L458" i="2"/>
  <c r="M457" i="2"/>
  <c r="L457" i="2"/>
  <c r="M456" i="2"/>
  <c r="L456" i="2"/>
  <c r="M455" i="2"/>
  <c r="L455" i="2"/>
  <c r="M454" i="2"/>
  <c r="L454" i="2"/>
  <c r="M453" i="2"/>
  <c r="L453" i="2"/>
  <c r="M452" i="2"/>
  <c r="L452" i="2"/>
  <c r="M451" i="2"/>
  <c r="L451" i="2"/>
  <c r="M450" i="2"/>
  <c r="L450" i="2"/>
  <c r="M449" i="2"/>
  <c r="L449" i="2"/>
  <c r="M448" i="2"/>
  <c r="L448" i="2"/>
  <c r="M447" i="2"/>
  <c r="L447" i="2"/>
  <c r="M446" i="2"/>
  <c r="L446" i="2"/>
  <c r="M445" i="2"/>
  <c r="L445" i="2"/>
  <c r="M444" i="2"/>
  <c r="L444" i="2"/>
  <c r="M443" i="2"/>
  <c r="L443" i="2"/>
  <c r="M442" i="2"/>
  <c r="L442" i="2"/>
  <c r="M441" i="2"/>
  <c r="L441" i="2"/>
  <c r="M440" i="2"/>
  <c r="L440" i="2"/>
  <c r="M439" i="2"/>
  <c r="L439" i="2"/>
  <c r="M438" i="2"/>
  <c r="L438" i="2"/>
  <c r="M437" i="2"/>
  <c r="L437" i="2"/>
  <c r="M436" i="2"/>
  <c r="L436" i="2"/>
  <c r="M435" i="2"/>
  <c r="L435" i="2"/>
  <c r="M434" i="2"/>
  <c r="L434" i="2"/>
  <c r="M433" i="2"/>
  <c r="L433" i="2"/>
  <c r="M432" i="2"/>
  <c r="L432" i="2"/>
  <c r="M431" i="2"/>
  <c r="L431" i="2"/>
  <c r="M430" i="2"/>
  <c r="L430" i="2"/>
  <c r="M429" i="2"/>
  <c r="L429" i="2"/>
  <c r="M428" i="2"/>
  <c r="L428" i="2"/>
  <c r="M427" i="2"/>
  <c r="L427" i="2"/>
  <c r="M426" i="2"/>
  <c r="L426" i="2"/>
  <c r="M425" i="2"/>
  <c r="L425" i="2"/>
  <c r="M424" i="2"/>
  <c r="L424" i="2"/>
  <c r="M423" i="2"/>
  <c r="L423" i="2"/>
  <c r="M422" i="2"/>
  <c r="L422" i="2"/>
  <c r="M421" i="2"/>
  <c r="L421" i="2"/>
  <c r="M420" i="2"/>
  <c r="L420" i="2"/>
  <c r="M419" i="2"/>
  <c r="L419" i="2"/>
  <c r="M418" i="2"/>
  <c r="L418" i="2"/>
  <c r="M417" i="2"/>
  <c r="L417" i="2"/>
  <c r="M416" i="2"/>
  <c r="L416" i="2"/>
  <c r="M415" i="2"/>
  <c r="L415" i="2"/>
  <c r="M414" i="2"/>
  <c r="L414" i="2"/>
  <c r="M413" i="2"/>
  <c r="L413" i="2"/>
  <c r="M412" i="2"/>
  <c r="L412" i="2"/>
  <c r="M411" i="2"/>
  <c r="L411" i="2"/>
  <c r="M410" i="2"/>
  <c r="L410" i="2"/>
  <c r="M409" i="2"/>
  <c r="L409" i="2"/>
  <c r="M408" i="2"/>
  <c r="L408" i="2"/>
  <c r="M407" i="2"/>
  <c r="L407" i="2"/>
  <c r="M406" i="2"/>
  <c r="L406" i="2"/>
  <c r="M405" i="2"/>
  <c r="L405" i="2"/>
  <c r="M404" i="2"/>
  <c r="L404" i="2"/>
  <c r="M403" i="2"/>
  <c r="L403" i="2"/>
  <c r="M402" i="2"/>
  <c r="L402" i="2"/>
  <c r="M401" i="2"/>
  <c r="L401" i="2"/>
  <c r="M400" i="2"/>
  <c r="L400" i="2"/>
  <c r="M399" i="2"/>
  <c r="L399" i="2"/>
  <c r="M398" i="2"/>
  <c r="L398" i="2"/>
  <c r="M397" i="2"/>
  <c r="L397" i="2"/>
  <c r="M396" i="2"/>
  <c r="L396" i="2"/>
  <c r="M395" i="2"/>
  <c r="L395" i="2"/>
  <c r="M394" i="2"/>
  <c r="L394" i="2"/>
  <c r="M393" i="2"/>
  <c r="L393" i="2"/>
  <c r="M392" i="2"/>
  <c r="L392" i="2"/>
  <c r="M391" i="2"/>
  <c r="L391" i="2"/>
  <c r="M390" i="2"/>
  <c r="L390" i="2"/>
  <c r="M389" i="2"/>
  <c r="L389" i="2"/>
  <c r="M388" i="2"/>
  <c r="L388" i="2"/>
  <c r="M387" i="2"/>
  <c r="L387" i="2"/>
  <c r="M386" i="2"/>
  <c r="L386" i="2"/>
  <c r="M385" i="2"/>
  <c r="L385" i="2"/>
  <c r="M384" i="2"/>
  <c r="L384" i="2"/>
  <c r="M383" i="2"/>
  <c r="L383" i="2"/>
  <c r="M382" i="2"/>
  <c r="L382" i="2"/>
  <c r="M381" i="2"/>
  <c r="L381" i="2"/>
  <c r="M380" i="2"/>
  <c r="L380" i="2"/>
  <c r="M379" i="2"/>
  <c r="L379" i="2"/>
  <c r="M378" i="2"/>
  <c r="L378" i="2"/>
  <c r="M377" i="2"/>
  <c r="L377" i="2"/>
  <c r="M376" i="2"/>
  <c r="L376" i="2"/>
  <c r="M375" i="2"/>
  <c r="L375" i="2"/>
  <c r="M374" i="2"/>
  <c r="L374" i="2"/>
  <c r="M373" i="2"/>
  <c r="L373" i="2"/>
  <c r="M372" i="2"/>
  <c r="L372" i="2"/>
  <c r="M371" i="2"/>
  <c r="L371" i="2"/>
  <c r="M370" i="2"/>
  <c r="L370" i="2"/>
  <c r="M369" i="2"/>
  <c r="L369" i="2"/>
  <c r="M368" i="2"/>
  <c r="L368" i="2"/>
  <c r="M367" i="2"/>
  <c r="L367" i="2"/>
  <c r="M366" i="2"/>
  <c r="L366" i="2"/>
  <c r="M365" i="2"/>
  <c r="L365" i="2"/>
  <c r="M364" i="2"/>
  <c r="L364" i="2"/>
  <c r="M363" i="2"/>
  <c r="L363" i="2"/>
  <c r="M362" i="2"/>
  <c r="L362" i="2"/>
  <c r="M361" i="2"/>
  <c r="L361" i="2"/>
  <c r="M360" i="2"/>
  <c r="L360" i="2"/>
  <c r="M359" i="2"/>
  <c r="L359" i="2"/>
  <c r="M358" i="2"/>
  <c r="L358" i="2"/>
  <c r="M357" i="2"/>
  <c r="L357" i="2"/>
  <c r="M356" i="2"/>
  <c r="L356" i="2"/>
  <c r="M355" i="2"/>
  <c r="L355" i="2"/>
  <c r="M354" i="2"/>
  <c r="L354" i="2"/>
  <c r="M353" i="2"/>
  <c r="L353" i="2"/>
  <c r="M352" i="2"/>
  <c r="L352" i="2"/>
  <c r="M351" i="2"/>
  <c r="L351" i="2"/>
  <c r="M350" i="2"/>
  <c r="L350" i="2"/>
  <c r="M349" i="2"/>
  <c r="L349" i="2"/>
  <c r="M348" i="2"/>
  <c r="L348" i="2"/>
  <c r="M347" i="2"/>
  <c r="L347" i="2"/>
  <c r="M346" i="2"/>
  <c r="L346" i="2"/>
  <c r="M345" i="2"/>
  <c r="L345" i="2"/>
  <c r="M344" i="2"/>
  <c r="L344" i="2"/>
  <c r="M343" i="2"/>
  <c r="L343" i="2"/>
  <c r="M342" i="2"/>
  <c r="L342" i="2"/>
  <c r="M341" i="2"/>
  <c r="L341" i="2"/>
  <c r="M340" i="2"/>
  <c r="L340" i="2"/>
  <c r="M339" i="2"/>
  <c r="L339" i="2"/>
  <c r="M338" i="2"/>
  <c r="L338" i="2"/>
  <c r="M337" i="2"/>
  <c r="L337" i="2"/>
  <c r="M336" i="2"/>
  <c r="L336" i="2"/>
  <c r="M335" i="2"/>
  <c r="L335" i="2"/>
  <c r="M334" i="2"/>
  <c r="L334" i="2"/>
  <c r="M333" i="2"/>
  <c r="L333" i="2"/>
  <c r="M332" i="2"/>
  <c r="L332" i="2"/>
  <c r="M331" i="2"/>
  <c r="L331" i="2"/>
  <c r="M330" i="2"/>
  <c r="L330" i="2"/>
  <c r="M329" i="2"/>
  <c r="L329" i="2"/>
  <c r="M328" i="2"/>
  <c r="L328" i="2"/>
  <c r="M327" i="2"/>
  <c r="L327" i="2"/>
  <c r="M326" i="2"/>
  <c r="L326" i="2"/>
  <c r="M325" i="2"/>
  <c r="L325" i="2"/>
  <c r="M324" i="2"/>
  <c r="L324" i="2"/>
  <c r="M323" i="2"/>
  <c r="L323" i="2"/>
  <c r="M322" i="2"/>
  <c r="L322" i="2"/>
  <c r="M321" i="2"/>
  <c r="L321" i="2"/>
  <c r="M320" i="2"/>
  <c r="L320" i="2"/>
  <c r="M319" i="2"/>
  <c r="L319" i="2"/>
  <c r="M318" i="2"/>
  <c r="L318" i="2"/>
  <c r="M317" i="2"/>
  <c r="L317" i="2"/>
  <c r="M316" i="2"/>
  <c r="L316" i="2"/>
  <c r="M315" i="2"/>
  <c r="L315" i="2"/>
  <c r="M314" i="2"/>
  <c r="L314" i="2"/>
  <c r="M313" i="2"/>
  <c r="L313" i="2"/>
  <c r="M312" i="2"/>
  <c r="L312" i="2"/>
  <c r="M311" i="2"/>
  <c r="L311" i="2"/>
  <c r="M310" i="2"/>
  <c r="L310" i="2"/>
  <c r="M309" i="2"/>
  <c r="L309" i="2"/>
  <c r="M308" i="2"/>
  <c r="L308" i="2"/>
  <c r="M307" i="2"/>
  <c r="L307" i="2"/>
  <c r="M306" i="2"/>
  <c r="L306" i="2"/>
  <c r="M305" i="2"/>
  <c r="L305" i="2"/>
  <c r="M304" i="2"/>
  <c r="L304" i="2"/>
  <c r="M303" i="2"/>
  <c r="L303" i="2"/>
  <c r="M302" i="2"/>
  <c r="L302" i="2"/>
  <c r="M301" i="2"/>
  <c r="L301" i="2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B25" i="3" s="1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M3" i="2"/>
  <c r="L3" i="2"/>
  <c r="M2" i="2"/>
  <c r="B19" i="3" s="1"/>
  <c r="L2" i="2"/>
  <c r="B28" i="3" s="1"/>
  <c r="F5" i="1"/>
  <c r="B5" i="1"/>
  <c r="B8" i="3" l="1"/>
  <c r="J5" i="1" s="1"/>
  <c r="B21" i="3"/>
  <c r="B12" i="3"/>
  <c r="C13" i="3" s="1"/>
  <c r="B22" i="3"/>
  <c r="B23" i="3"/>
  <c r="B24" i="3"/>
  <c r="D5" i="1"/>
  <c r="B26" i="3"/>
  <c r="B20" i="3"/>
</calcChain>
</file>

<file path=xl/sharedStrings.xml><?xml version="1.0" encoding="utf-8"?>
<sst xmlns="http://schemas.openxmlformats.org/spreadsheetml/2006/main" count="3016" uniqueCount="1023">
  <si>
    <t>DASHBOARD DE VENTAS</t>
  </si>
  <si>
    <t>INGRESO TOTAL</t>
  </si>
  <si>
    <t>UTILIDAD TOTAL</t>
  </si>
  <si>
    <t>NUMERO DE VENTAS</t>
  </si>
  <si>
    <t>TICKET PROMEDIO</t>
  </si>
  <si>
    <t>MARGEN DE UTILIDAD</t>
  </si>
  <si>
    <t>DATE</t>
  </si>
  <si>
    <t>CUSTOMER ID</t>
  </si>
  <si>
    <t>PRODUCT</t>
  </si>
  <si>
    <t>LOCATION</t>
  </si>
  <si>
    <t>ACCOUNT INCOME</t>
  </si>
  <si>
    <t>SALES COMMISSION</t>
  </si>
  <si>
    <t>SUBTOTAL</t>
  </si>
  <si>
    <t>INCOME TAX (ISR)</t>
  </si>
  <si>
    <t>VAT (IVA)</t>
  </si>
  <si>
    <t>SHIPPING</t>
  </si>
  <si>
    <t>TOTAL PROFIT</t>
  </si>
  <si>
    <t>Year</t>
  </si>
  <si>
    <t>Quarter</t>
  </si>
  <si>
    <t>Customer 1</t>
  </si>
  <si>
    <t>MARTIAN PIN</t>
  </si>
  <si>
    <t>Baja California</t>
  </si>
  <si>
    <t>Customer 2</t>
  </si>
  <si>
    <t>HQ3 STABILIZER</t>
  </si>
  <si>
    <t>Quintana Roo</t>
  </si>
  <si>
    <t>Customer 3</t>
  </si>
  <si>
    <t>RED GUITAR PIN</t>
  </si>
  <si>
    <t>Tamaulipas</t>
  </si>
  <si>
    <t>Customer 4</t>
  </si>
  <si>
    <t>Michoacán</t>
  </si>
  <si>
    <t>Customer 5</t>
  </si>
  <si>
    <t>AOCHUAN Smart XE STABILIZER</t>
  </si>
  <si>
    <t>Customer 6</t>
  </si>
  <si>
    <t>Guanajuato</t>
  </si>
  <si>
    <t>Customer 7</t>
  </si>
  <si>
    <t>Nuevo León</t>
  </si>
  <si>
    <t>Customer 8</t>
  </si>
  <si>
    <t>RORETA 3C STABILIZER</t>
  </si>
  <si>
    <t>State of Mexico</t>
  </si>
  <si>
    <t>Customer 9</t>
  </si>
  <si>
    <t>Coahuila</t>
  </si>
  <si>
    <t>Customer 10</t>
  </si>
  <si>
    <t>Sonora</t>
  </si>
  <si>
    <t>Customer 11</t>
  </si>
  <si>
    <t>18/PIECE STAINLESS STEEL MANICURE &amp; PEDICURE KIT</t>
  </si>
  <si>
    <t>Customer 12</t>
  </si>
  <si>
    <t>12/PIECE STAINLESS STEEL MANICURE &amp; PEDICURE KIT</t>
  </si>
  <si>
    <t>Customer 13</t>
  </si>
  <si>
    <t>FG146 60CM</t>
  </si>
  <si>
    <t>Jalisco</t>
  </si>
  <si>
    <t>Customer 14</t>
  </si>
  <si>
    <t>Customer 15</t>
  </si>
  <si>
    <t>3D PUZZLE / SHIP MODEL</t>
  </si>
  <si>
    <t>Zacatecas</t>
  </si>
  <si>
    <t>Customer 16</t>
  </si>
  <si>
    <t>SCALE MOTORCYCLE 2 (BLACK &amp; YELLOW)</t>
  </si>
  <si>
    <t>Puebla</t>
  </si>
  <si>
    <t>Customer 17</t>
  </si>
  <si>
    <t>Customer 18</t>
  </si>
  <si>
    <t>Chiapas</t>
  </si>
  <si>
    <t>F10 STABILIZER</t>
  </si>
  <si>
    <t>Customer 19</t>
  </si>
  <si>
    <t>F8 STABILIZER</t>
  </si>
  <si>
    <t>Customer 20</t>
  </si>
  <si>
    <t>WINE &amp; GLASS PIN</t>
  </si>
  <si>
    <t>Querétaro</t>
  </si>
  <si>
    <t>Customer 21</t>
  </si>
  <si>
    <t>AOCHUAN Smart XE STABILIZER WITH LIGHT</t>
  </si>
  <si>
    <t>SCALE MOTORCYCLE 1 (WHITE &amp; RED)</t>
  </si>
  <si>
    <t>MINI KAWAII LAMP</t>
  </si>
  <si>
    <t>Customer 22</t>
  </si>
  <si>
    <t>MELTED DISC PIN (DISC 1)</t>
  </si>
  <si>
    <t>DISC ON TURNTABLE PIN</t>
  </si>
  <si>
    <t>Customer 23</t>
  </si>
  <si>
    <t>S5B STABILIZER</t>
  </si>
  <si>
    <t>Customer 24</t>
  </si>
  <si>
    <t>AOCHUAN X PRO STABILIZER (GRAY)</t>
  </si>
  <si>
    <t>Veracruz</t>
  </si>
  <si>
    <t>Customer 25</t>
  </si>
  <si>
    <t>YELLOW SCALE BICYCLE</t>
  </si>
  <si>
    <t>Customer 26</t>
  </si>
  <si>
    <t>Baja California Sur</t>
  </si>
  <si>
    <t>Customer 27</t>
  </si>
  <si>
    <t>Customer 28</t>
  </si>
  <si>
    <t>Customer 29</t>
  </si>
  <si>
    <t>Sinaloa</t>
  </si>
  <si>
    <t>CAMPING CONVERSE SNEAKERS PIN</t>
  </si>
  <si>
    <t>Customer 30</t>
  </si>
  <si>
    <t>Customer 31</t>
  </si>
  <si>
    <t>Customer 32</t>
  </si>
  <si>
    <t>AOCHUAN FILL LIGHT</t>
  </si>
  <si>
    <t>Customer 33</t>
  </si>
  <si>
    <t>3D PUZZLE / CAR MODEL</t>
  </si>
  <si>
    <t>Mexico City</t>
  </si>
  <si>
    <t>Customer 34</t>
  </si>
  <si>
    <t>MINI BAG FOR AOCHUAN STABILIZER</t>
  </si>
  <si>
    <t>Customer 35</t>
  </si>
  <si>
    <t>Customer 36</t>
  </si>
  <si>
    <t>Customer 37</t>
  </si>
  <si>
    <t>20/PIECE STAINLESS STEEL MANICURE &amp; PEDICURE KIT</t>
  </si>
  <si>
    <t>Customer 38</t>
  </si>
  <si>
    <t>Customer 39</t>
  </si>
  <si>
    <t>"THAT'S WHAT SHE SAID" PIN</t>
  </si>
  <si>
    <t>Customer 40</t>
  </si>
  <si>
    <t>Customer 41</t>
  </si>
  <si>
    <t>Customer 42</t>
  </si>
  <si>
    <t>Customer 43</t>
  </si>
  <si>
    <t>Customer 44</t>
  </si>
  <si>
    <t>BLACK CASSETTE "SAD SONG" PIN</t>
  </si>
  <si>
    <t>Durango</t>
  </si>
  <si>
    <t>"MUSIC PLEASE" PIN</t>
  </si>
  <si>
    <t>Customer 45</t>
  </si>
  <si>
    <t>Customer 46</t>
  </si>
  <si>
    <t>3D PUZZLE / TRAIN MODEL</t>
  </si>
  <si>
    <t>Customer 47</t>
  </si>
  <si>
    <t>AOCHUAN X PRO STABILIZER (BLACK)</t>
  </si>
  <si>
    <t>Customer 48</t>
  </si>
  <si>
    <t>Customer 49</t>
  </si>
  <si>
    <t>Customer 50</t>
  </si>
  <si>
    <t>San Luis Potosí</t>
  </si>
  <si>
    <t>Customer 51</t>
  </si>
  <si>
    <t>Customer 52</t>
  </si>
  <si>
    <t>Customer 53</t>
  </si>
  <si>
    <t>3D PUZZLE / AIRPLANE MODEL</t>
  </si>
  <si>
    <t>Customer 54</t>
  </si>
  <si>
    <t>Customer 55</t>
  </si>
  <si>
    <t>Guerrero</t>
  </si>
  <si>
    <t>Customer 56</t>
  </si>
  <si>
    <t>Customer 57</t>
  </si>
  <si>
    <t>Chihuahua</t>
  </si>
  <si>
    <t>Customer 58</t>
  </si>
  <si>
    <t>L7Cpro Plus + AI STABILIZER</t>
  </si>
  <si>
    <t>Customer 59</t>
  </si>
  <si>
    <t>HQ6 STABILIZER</t>
  </si>
  <si>
    <t>Customer 60</t>
  </si>
  <si>
    <t>Customer 61</t>
  </si>
  <si>
    <t>Customer 62</t>
  </si>
  <si>
    <t>Customer 63</t>
  </si>
  <si>
    <t>Customer 64</t>
  </si>
  <si>
    <t>Customer 65</t>
  </si>
  <si>
    <t>Yucatán</t>
  </si>
  <si>
    <t>Customer 66</t>
  </si>
  <si>
    <t>Customer 67</t>
  </si>
  <si>
    <t>Morelos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</si>
  <si>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</si>
  <si>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</si>
  <si>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</si>
  <si>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</si>
  <si>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</si>
  <si>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</si>
  <si>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</si>
  <si>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</si>
  <si>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</si>
  <si>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CATSA PIN</t>
  </si>
  <si>
    <t>"STAY PAWSITIVE" PIN</t>
  </si>
  <si>
    <t>DINOSAUR PIN</t>
  </si>
  <si>
    <t>"THE OFFICE" AD LOGO PIN</t>
  </si>
  <si>
    <t>HAND MAKING "I" SIGN PIN (MEDIUM FINGER)</t>
  </si>
  <si>
    <t>Customer 77</t>
  </si>
  <si>
    <t>Customer 78</t>
  </si>
  <si>
    <t>DIGITAL BLOOD PRESSURE MONITOR</t>
  </si>
  <si>
    <t>Customer 79</t>
  </si>
  <si>
    <t>S5B PRO STABILIZER</t>
  </si>
  <si>
    <t>Customer 80</t>
  </si>
  <si>
    <t>Oaxaca</t>
  </si>
  <si>
    <t>BLACK MINI CASE FOR GIMBAL STABILIZER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</si>
  <si>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</si>
  <si>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</si>
  <si>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</si>
  <si>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</si>
  <si>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</si>
  <si>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</si>
  <si>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</si>
  <si>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</si>
  <si>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</si>
  <si>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Colima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</si>
  <si>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</si>
  <si>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</si>
  <si>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</si>
  <si>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</si>
  <si>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</si>
  <si>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</si>
  <si>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</si>
  <si>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</si>
  <si>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</si>
  <si>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BLUE GIMBAL STABILIZER CASE</t>
  </si>
  <si>
    <t>Customer 99</t>
  </si>
  <si>
    <t>RED SCALE BICYCLE</t>
  </si>
  <si>
    <t>Customer 100</t>
  </si>
  <si>
    <t>Nayarit</t>
  </si>
  <si>
    <t>Customer 101</t>
  </si>
  <si>
    <t>"STRANGER THINGS" TV PIN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</si>
  <si>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</si>
  <si>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</si>
  <si>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</si>
  <si>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</si>
  <si>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</si>
  <si>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</si>
  <si>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</si>
  <si>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</si>
  <si>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</si>
  <si>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</si>
  <si>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</si>
  <si>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</si>
  <si>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</si>
  <si>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</si>
  <si>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</si>
  <si>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</si>
  <si>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</si>
  <si>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</si>
  <si>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</si>
  <si>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</si>
  <si>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</si>
  <si>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</si>
  <si>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</si>
  <si>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Tabasco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</si>
  <si>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</si>
  <si>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</si>
  <si>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</si>
  <si>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</si>
  <si>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</si>
  <si>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</si>
  <si>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</si>
  <si>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</si>
  <si>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</si>
  <si>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</si>
  <si>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</si>
  <si>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</si>
  <si>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</si>
  <si>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</si>
  <si>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</si>
  <si>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</si>
  <si>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Hidalgo</t>
  </si>
  <si>
    <t>Customer 141</t>
  </si>
  <si>
    <t>L9 STABILIZER</t>
  </si>
  <si>
    <t>Customer 142</t>
  </si>
  <si>
    <t>Customer 143</t>
  </si>
  <si>
    <t>Customer 144</t>
  </si>
  <si>
    <t>GREEN CASSETTE "GOOD VIBES" PIN</t>
  </si>
  <si>
    <t>CAMPING CAMPFIRE PIN</t>
  </si>
  <si>
    <t>CAMPING FINGERS &amp; MOUNTAIN PIN</t>
  </si>
  <si>
    <t>"LOVE" HEART PIN</t>
  </si>
  <si>
    <t>RED "DUFF" BEER PIN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</si>
  <si>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</si>
  <si>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</si>
  <si>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</si>
  <si>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</si>
  <si>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</si>
  <si>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</si>
  <si>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</si>
  <si>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</si>
  <si>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</si>
  <si>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</si>
  <si>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FLUORESCENT YELLOW &amp; BLACK SCALE BICYCLE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</si>
  <si>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</si>
  <si>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</si>
  <si>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</si>
  <si>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</si>
  <si>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</si>
  <si>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</si>
  <si>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</si>
  <si>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</si>
  <si>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</si>
  <si>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</si>
  <si>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</si>
  <si>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</si>
  <si>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</si>
  <si>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</si>
  <si>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</si>
  <si>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</si>
  <si>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</si>
  <si>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</si>
  <si>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</si>
  <si>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</si>
  <si>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</si>
  <si>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</si>
  <si>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</si>
  <si>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</si>
  <si>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</si>
  <si>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</si>
  <si>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</si>
  <si>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</si>
  <si>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</si>
  <si>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</si>
  <si>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</si>
  <si>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"I BELIEVE" PIN</t>
  </si>
  <si>
    <t>Customer 186</t>
  </si>
  <si>
    <t>Customer 187</t>
  </si>
  <si>
    <t>Customer 188</t>
  </si>
  <si>
    <t>FG146 90CM</t>
  </si>
  <si>
    <t>FG167 60CM</t>
  </si>
  <si>
    <t>FG138 90CM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</si>
  <si>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</si>
  <si>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</si>
  <si>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</si>
  <si>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</si>
  <si>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</si>
  <si>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</si>
  <si>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</si>
  <si>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</si>
  <si>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</si>
  <si>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</si>
  <si>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</si>
  <si>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</si>
  <si>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</si>
  <si>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</si>
  <si>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</si>
  <si>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BLUE SCALE BICYCLE</t>
  </si>
  <si>
    <t>Customer 204</t>
  </si>
  <si>
    <t>Customer 205</t>
  </si>
  <si>
    <t>Customer 206</t>
  </si>
  <si>
    <t>Customer 207</t>
  </si>
  <si>
    <t>Customer 208</t>
  </si>
  <si>
    <t>S5B Pro + AI STABILIZER</t>
  </si>
  <si>
    <t>Campeche</t>
  </si>
  <si>
    <t>Customer 209</t>
  </si>
  <si>
    <t>Aguascalientes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</si>
  <si>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</si>
  <si>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</si>
  <si>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</si>
  <si>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</si>
  <si>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</si>
  <si>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</si>
  <si>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</si>
  <si>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</si>
  <si>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</si>
  <si>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</si>
  <si>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</si>
  <si>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</si>
  <si>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</si>
  <si>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</si>
  <si>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</si>
  <si>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</si>
  <si>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GRAY MINI CASE FOR GIMBAL STABILIZER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</si>
  <si>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</si>
  <si>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</si>
  <si>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</si>
  <si>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</si>
  <si>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</si>
  <si>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</si>
  <si>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</si>
  <si>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</si>
  <si>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</si>
  <si>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</si>
  <si>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</si>
  <si>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</si>
  <si>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</si>
  <si>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</si>
  <si>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</si>
  <si>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</si>
  <si>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</si>
  <si>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FEMINIST FIST PIN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</si>
  <si>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</si>
  <si>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</si>
  <si>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</si>
  <si>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</si>
  <si>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</si>
  <si>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</si>
  <si>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</si>
  <si>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</si>
  <si>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</si>
  <si>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</si>
  <si>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</si>
  <si>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</si>
  <si>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</si>
  <si>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</si>
  <si>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FG167 120CM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</si>
  <si>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</si>
  <si>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</si>
  <si>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</si>
  <si>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</si>
  <si>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</si>
  <si>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</si>
  <si>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</si>
  <si>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</si>
  <si>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</si>
  <si>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</si>
  <si>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</si>
  <si>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</si>
  <si>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</si>
  <si>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</si>
  <si>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</si>
  <si>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</si>
  <si>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</si>
  <si>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</si>
  <si>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</si>
  <si>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</si>
  <si>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</si>
  <si>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</si>
  <si>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</si>
  <si>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</si>
  <si>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BLACK SCALE BICYCLE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</si>
  <si>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</si>
  <si>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</si>
  <si>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</si>
  <si>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</si>
  <si>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</si>
  <si>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</si>
  <si>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</si>
  <si>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</si>
  <si>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</si>
  <si>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</si>
  <si>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</si>
  <si>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</si>
  <si>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</si>
  <si>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</si>
  <si>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</si>
  <si>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</si>
  <si>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</si>
  <si>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</si>
  <si>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</si>
  <si>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</si>
  <si>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</si>
  <si>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</si>
  <si>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</si>
  <si>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</si>
  <si>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</si>
  <si>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</si>
  <si>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</si>
  <si>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</si>
  <si>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</si>
  <si>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</si>
  <si>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</si>
  <si>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</si>
  <si>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</si>
  <si>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</si>
  <si>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ORANGE SCALE BICYCLE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</si>
  <si>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</si>
  <si>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</si>
  <si>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</si>
  <si>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</si>
  <si>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</si>
  <si>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</si>
  <si>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</si>
  <si>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</si>
  <si>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</si>
  <si>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</si>
  <si>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</si>
  <si>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</si>
  <si>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</si>
  <si>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</si>
  <si>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</si>
  <si>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</si>
  <si>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</si>
  <si>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</si>
  <si>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</si>
  <si>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FG146 120CM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</si>
  <si>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</si>
  <si>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</si>
  <si>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</si>
  <si>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</si>
  <si>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</si>
  <si>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</si>
  <si>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</si>
  <si>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</si>
  <si>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</si>
  <si>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</si>
  <si>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</si>
  <si>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AOCHUAN X PRO STABILIZER (GRAY) WITH LIGHT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</si>
  <si>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</si>
  <si>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</si>
  <si>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</si>
  <si>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</si>
  <si>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</si>
  <si>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</si>
  <si>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</si>
  <si>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</si>
  <si>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</si>
  <si>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</si>
  <si>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</si>
  <si>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</si>
  <si>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</si>
  <si>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</si>
  <si>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L7Cpro STABILIZER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</si>
  <si>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</si>
  <si>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</si>
  <si>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</si>
  <si>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</si>
  <si>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</si>
  <si>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</si>
  <si>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</si>
  <si>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</si>
  <si>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</si>
  <si>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</si>
  <si>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</si>
  <si>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</si>
  <si>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</si>
  <si>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</si>
  <si>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</si>
  <si>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</si>
  <si>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</si>
  <si>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</si>
  <si>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</si>
  <si>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</si>
  <si>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</si>
  <si>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</si>
  <si>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</si>
  <si>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</si>
  <si>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</si>
  <si>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</si>
  <si>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</si>
  <si>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</si>
  <si>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</si>
  <si>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</si>
  <si>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</si>
  <si>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</si>
  <si>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</si>
  <si>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</si>
  <si>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</si>
  <si>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</si>
  <si>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</si>
  <si>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</si>
  <si>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</si>
  <si>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</si>
  <si>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</si>
  <si>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BLACK FRONT SNORKEL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</si>
  <si>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</si>
  <si>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</si>
  <si>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</si>
  <si>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</si>
  <si>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</si>
  <si>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</si>
  <si>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</si>
  <si>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</si>
  <si>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</si>
  <si>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</si>
  <si>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</si>
  <si>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</si>
  <si>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</si>
  <si>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</si>
  <si>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</si>
  <si>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</si>
  <si>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</si>
  <si>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</si>
  <si>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</si>
  <si>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</si>
  <si>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</si>
  <si>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</si>
  <si>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</si>
  <si>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</si>
  <si>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</si>
  <si>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BLUE FRONT SNORKEL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</si>
  <si>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</si>
  <si>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</si>
  <si>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</si>
  <si>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</si>
  <si>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</si>
  <si>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</si>
  <si>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</si>
  <si>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</si>
  <si>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FG138 75CM</t>
  </si>
  <si>
    <t>Customer 433</t>
  </si>
  <si>
    <t>Customer 434</t>
  </si>
  <si>
    <t>Customer 435</t>
  </si>
  <si>
    <t>Tlaxcala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</si>
  <si>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</si>
  <si>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</si>
  <si>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</si>
  <si>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</si>
  <si>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</si>
  <si>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</si>
  <si>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</si>
  <si>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FG146 75CM</t>
  </si>
  <si>
    <t>Customer 443</t>
  </si>
  <si>
    <t>Customer 444</t>
  </si>
  <si>
    <t>Customer 445</t>
  </si>
  <si>
    <t>Customer 446</t>
  </si>
  <si>
    <t>FG167 45CM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</si>
  <si>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</si>
  <si>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</si>
  <si>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</si>
  <si>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</si>
  <si>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</si>
  <si>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</si>
  <si>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</si>
  <si>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</si>
  <si>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</si>
  <si>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</si>
  <si>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</si>
  <si>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</si>
  <si>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FG167 30CM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</si>
  <si>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</si>
  <si>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</si>
  <si>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</si>
  <si>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</si>
  <si>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</si>
  <si>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</si>
  <si>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</si>
  <si>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</si>
  <si>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</si>
  <si>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</si>
  <si>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</si>
  <si>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</si>
  <si>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</si>
  <si>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</si>
  <si>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</si>
  <si>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</si>
  <si>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</si>
  <si>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FG147 CLIP ON 30CM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</si>
  <si>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</si>
  <si>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</si>
  <si>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</si>
  <si>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</si>
  <si>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</si>
  <si>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</si>
  <si>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</si>
  <si>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</si>
  <si>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</si>
  <si>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</si>
  <si>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</si>
  <si>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</si>
  <si>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</si>
  <si>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</si>
  <si>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</si>
  <si>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</si>
  <si>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</si>
  <si>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</si>
  <si>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</si>
  <si>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</si>
  <si>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</si>
  <si>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</si>
  <si>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</si>
  <si>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</si>
  <si>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</si>
  <si>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</si>
  <si>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</si>
  <si>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</si>
  <si>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</si>
  <si>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</si>
  <si>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</si>
  <si>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</si>
  <si>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</si>
  <si>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</si>
  <si>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</si>
  <si>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</si>
  <si>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</si>
  <si>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</si>
  <si>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</si>
  <si>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</si>
  <si>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</si>
  <si>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</si>
  <si>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</si>
  <si>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</si>
  <si>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</si>
  <si>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</si>
  <si>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</si>
  <si>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</si>
  <si>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</si>
  <si>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</si>
  <si>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</si>
  <si>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</si>
  <si>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</si>
  <si>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</si>
  <si>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</si>
  <si>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</si>
  <si>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</si>
  <si>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</si>
  <si>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</si>
  <si>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</si>
  <si>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</si>
  <si>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</si>
  <si>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</si>
  <si>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PINK CASSETTE "BEST 90'S" PIN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</si>
  <si>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</si>
  <si>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</si>
  <si>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</si>
  <si>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</si>
  <si>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</si>
  <si>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</si>
  <si>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</si>
  <si>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</si>
  <si>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</si>
  <si>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</si>
  <si>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</si>
  <si>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</si>
  <si>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</si>
  <si>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</si>
  <si>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</si>
  <si>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</si>
  <si>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</si>
  <si>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</si>
  <si>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</si>
  <si>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</si>
  <si>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</si>
  <si>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</si>
  <si>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</si>
  <si>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</si>
  <si>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</si>
  <si>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FG146 45CM</t>
  </si>
  <si>
    <t>Customer 564</t>
  </si>
  <si>
    <t>HEART &amp; FLOWER PIN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</si>
  <si>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</si>
  <si>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</si>
  <si>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</si>
  <si>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</si>
  <si>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</si>
  <si>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</si>
  <si>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</si>
  <si>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</si>
  <si>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</si>
  <si>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</si>
  <si>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</si>
  <si>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</si>
  <si>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</si>
  <si>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FG146 30CM</t>
  </si>
  <si>
    <t>Customer 578</t>
  </si>
  <si>
    <t>Customer 579</t>
  </si>
  <si>
    <t>Customer 580</t>
  </si>
  <si>
    <t>Customer 581</t>
  </si>
  <si>
    <t>Customer 582</t>
  </si>
  <si>
    <t>Customer 583</t>
  </si>
  <si>
    <t>PINK FRONT SNORKEL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</si>
  <si>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</si>
  <si>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</si>
  <si>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</si>
  <si>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</si>
  <si>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</si>
  <si>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</si>
  <si>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</si>
  <si>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</si>
  <si>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</si>
  <si>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</si>
  <si>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</si>
  <si>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</si>
  <si>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</si>
  <si>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</si>
  <si>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AQUA GREEN FRONT SNORKEL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</si>
  <si>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</si>
  <si>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</si>
  <si>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</si>
  <si>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</si>
  <si>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</si>
  <si>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</si>
  <si>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</si>
  <si>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</si>
  <si>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</si>
  <si>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</si>
  <si>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</si>
  <si>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</si>
  <si>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</si>
  <si>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</si>
  <si>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</si>
  <si>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</si>
  <si>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</si>
  <si>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</si>
  <si>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</si>
  <si>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</si>
  <si>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</si>
  <si>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</si>
  <si>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</si>
  <si>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</si>
  <si>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</si>
  <si>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</si>
  <si>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</si>
  <si>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</si>
  <si>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</si>
  <si>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</si>
  <si>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</si>
  <si>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</si>
  <si>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</si>
  <si>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</si>
  <si>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</si>
  <si>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</si>
  <si>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</si>
  <si>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</si>
  <si>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</si>
  <si>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</si>
  <si>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</si>
  <si>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</si>
  <si>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</si>
  <si>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WHITE FRONT SNORKEL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</si>
  <si>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</si>
  <si>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</si>
  <si>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</si>
  <si>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</si>
  <si>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</si>
  <si>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</si>
  <si>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</si>
  <si>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</si>
  <si>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</si>
  <si>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</si>
  <si>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</si>
  <si>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</si>
  <si>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</si>
  <si>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</si>
  <si>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</si>
  <si>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</si>
  <si>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</si>
  <si>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</si>
  <si>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</si>
  <si>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</si>
  <si>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</si>
  <si>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</si>
  <si>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</si>
  <si>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</si>
  <si>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</si>
  <si>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</si>
  <si>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</si>
  <si>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</si>
  <si>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</si>
  <si>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</si>
  <si>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</si>
  <si>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</si>
  <si>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</si>
  <si>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</si>
  <si>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</si>
  <si>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</si>
  <si>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</si>
  <si>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</si>
  <si>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</si>
  <si>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</si>
  <si>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</si>
  <si>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</si>
  <si>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</si>
  <si>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</si>
  <si>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</si>
  <si>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</si>
  <si>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</si>
  <si>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</si>
  <si>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</si>
  <si>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</si>
  <si>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</si>
  <si>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</si>
  <si>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</si>
  <si>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</si>
  <si>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</si>
  <si>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</si>
  <si>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</si>
  <si>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</si>
  <si>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</si>
  <si>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</si>
  <si>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</si>
  <si>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</si>
  <si>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</si>
  <si>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</si>
  <si>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</si>
  <si>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</si>
  <si>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</si>
  <si>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</si>
  <si>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</si>
  <si>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</si>
  <si>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</si>
  <si>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</si>
  <si>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</si>
  <si>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</si>
  <si>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</si>
  <si>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</si>
  <si>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</si>
  <si>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YELLOW FRONT SNORKEL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</si>
  <si>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</si>
  <si>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</si>
  <si>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</si>
  <si>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</si>
  <si>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</si>
  <si>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</si>
  <si>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</si>
  <si>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</si>
  <si>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</si>
  <si>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</si>
  <si>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</si>
  <si>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</si>
  <si>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</si>
  <si>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</si>
  <si>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</si>
  <si>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</si>
  <si>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</si>
  <si>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</si>
  <si>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</si>
  <si>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</si>
  <si>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A10 STABILIZER (BLACK)</t>
  </si>
  <si>
    <t>Customer 738</t>
  </si>
  <si>
    <t>Customer 739</t>
  </si>
  <si>
    <t>Customer 740</t>
  </si>
  <si>
    <t>SCALE MOTORCYCLE 5 (BLACK)</t>
  </si>
  <si>
    <t>Customer 741</t>
  </si>
  <si>
    <t>Customer 742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</si>
  <si>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</si>
  <si>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</si>
  <si>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</si>
  <si>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</si>
  <si>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</si>
  <si>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</si>
  <si>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</si>
  <si>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</si>
  <si>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</si>
  <si>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</si>
  <si>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</si>
  <si>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</si>
  <si>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</si>
  <si>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</si>
  <si>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</si>
  <si>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</si>
  <si>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</si>
  <si>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</si>
  <si>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</si>
  <si>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</si>
  <si>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</si>
  <si>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</si>
  <si>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</si>
  <si>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</si>
  <si>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</si>
  <si>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</si>
  <si>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</si>
  <si>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Customer 770</t>
  </si>
  <si>
    <t>Customer 771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</si>
  <si>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</si>
  <si>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</si>
  <si>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</si>
  <si>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</si>
  <si>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</si>
  <si>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</si>
  <si>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</si>
  <si>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</si>
  <si>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</si>
  <si>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</si>
  <si>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</si>
  <si>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</si>
  <si>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</si>
  <si>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</si>
  <si>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</si>
  <si>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</si>
  <si>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</si>
  <si>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</si>
  <si>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</si>
  <si>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</si>
  <si>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</si>
  <si>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</si>
  <si>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</si>
  <si>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</si>
  <si>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</si>
  <si>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</si>
  <si>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</si>
  <si>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</si>
  <si>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</si>
  <si>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Customer 801</t>
  </si>
  <si>
    <t>Customer 802</t>
  </si>
  <si>
    <t>Customer 803</t>
  </si>
  <si>
    <t>Customer 804</t>
  </si>
  <si>
    <t>Customer 805</t>
  </si>
  <si>
    <t>Customer 806</t>
  </si>
  <si>
    <t>Customer 807</t>
  </si>
  <si>
    <t>Customer 808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</si>
  <si>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</si>
  <si>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</si>
  <si>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</si>
  <si>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</si>
  <si>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</si>
  <si>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</si>
  <si>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</si>
  <si>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</si>
  <si>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</si>
  <si>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</si>
  <si>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</si>
  <si>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</si>
  <si>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</si>
  <si>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</si>
  <si>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</si>
  <si>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</si>
  <si>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</si>
  <si>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</si>
  <si>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</si>
  <si>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</si>
  <si>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</si>
  <si>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</si>
  <si>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</si>
  <si>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</si>
  <si>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</si>
  <si>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Customer 834</t>
  </si>
  <si>
    <t>Customer 835</t>
  </si>
  <si>
    <t>Customer 836</t>
  </si>
  <si>
    <t>Customer 837</t>
  </si>
  <si>
    <t>Customer 838</t>
  </si>
  <si>
    <t>Customer 839</t>
  </si>
  <si>
    <t>Customer 840</t>
  </si>
  <si>
    <t>Customer 841</t>
  </si>
  <si>
    <t>FINS</t>
  </si>
  <si>
    <t>Customer 842</t>
  </si>
  <si>
    <t>Customer 843</t>
  </si>
  <si>
    <t>Customer 844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</si>
  <si>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</si>
  <si>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</si>
  <si>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</si>
  <si>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</si>
  <si>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</si>
  <si>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</si>
  <si>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</si>
  <si>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</si>
  <si>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Customer 853</t>
  </si>
  <si>
    <t>Customer 854</t>
  </si>
  <si>
    <t>Customer 855</t>
  </si>
  <si>
    <t>Customer 856</t>
  </si>
  <si>
    <t>Customer 857</t>
  </si>
  <si>
    <t>Customer 858</t>
  </si>
  <si>
    <t>KPIs PRINCIPALES</t>
  </si>
  <si>
    <t>Ingreso total</t>
  </si>
  <si>
    <t>Utilidad total</t>
  </si>
  <si>
    <t>Numero de ventas</t>
  </si>
  <si>
    <t>Ticket promedio</t>
  </si>
  <si>
    <t>Utilidad prom. por venta</t>
  </si>
  <si>
    <t>Margen de utilidad</t>
  </si>
  <si>
    <t>Utilidad</t>
  </si>
  <si>
    <t>-</t>
  </si>
  <si>
    <t>Nota: 2026 con datos parciales (hasta la ultima fecha registrada).</t>
  </si>
  <si>
    <t>UTILIDAD POR TRIMESTRE</t>
  </si>
  <si>
    <t>Trimestre</t>
  </si>
  <si>
    <t>24-T2</t>
  </si>
  <si>
    <t>24-T3</t>
  </si>
  <si>
    <t>24-T4</t>
  </si>
  <si>
    <t>25-T1</t>
  </si>
  <si>
    <t>25-T2</t>
  </si>
  <si>
    <t>25-T3</t>
  </si>
  <si>
    <t>25-T4</t>
  </si>
  <si>
    <t>26-T1</t>
  </si>
  <si>
    <t>26-T2</t>
  </si>
  <si>
    <t>26-T3</t>
  </si>
  <si>
    <t>UTILIDAD POR PRODUCTO (ordenado de mayor a menor)</t>
  </si>
  <si>
    <t>Producto</t>
  </si>
  <si>
    <t>% del total</t>
  </si>
  <si>
    <t>UTILIDAD POR ESTADO (ordenado de mayor a menor)</t>
  </si>
  <si>
    <t>Estado</t>
  </si>
  <si>
    <t>UTILIDAD POR AÑO</t>
  </si>
  <si>
    <t>Año</t>
  </si>
  <si>
    <t>Crecimiento vs. año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</si>
</sst>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.00"/>
    <numFmt numFmtId="166" formatCode="0.0%"/>
    <numFmt numFmtId="167" formatCode="yyyy\-mm\-dd"/>
  </numFmts>
  <fonts count="9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sz val="10"/>
      <color rgb="FFFFFFFF"/>
      <name val="Arial"/>
      <family val="2"/>
    </font>
    <font>
      <b/>
      <sz val="18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rgb="FF1F2A4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9"/>
      <color rgb="FF77777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2A78D6"/>
        <bgColor rgb="FF0066CC"/>
      </patternFill>
    </fill>
    <fill>
      <patternFill patternType="solid">
        <fgColor rgb="FF1BAF7A"/>
        <bgColor rgb="FF33CCCC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0" xfId="0" applyFont="1" applyFill="1" applyAlignment="1">
      <alignment horizontal="center"/>
    </xf>
    <xf numFmtId="0" fontId="4" fillId="2" borderId="0" xfId="0" applyFont="1" applyFill="1"/>
    <xf numFmtId="167" fontId="0" fillId="0" borderId="0" xfId="0" applyNumberFormat="1"/>
    <xf numFmtId="165" fontId="0" fillId="0" borderId="0" xfId="0" applyNumberFormat="1"/>
    <xf numFmtId="0" fontId="5" fillId="0" borderId="0" xfId="0" applyFont="1"/>
    <xf numFmtId="0" fontId="6" fillId="0" borderId="0" xfId="0" applyFont="1"/>
    <xf numFmtId="165" fontId="7" fillId="0" borderId="0" xfId="0" applyNumberFormat="1" applyFont="1"/>
    <xf numFmtId="166" fontId="7" fillId="0" borderId="0" xfId="0" applyNumberFormat="1" applyFont="1"/>
    <xf numFmtId="0" fontId="7" fillId="0" borderId="0" xfId="0" applyFont="1"/>
    <xf numFmtId="0" fontId="8" fillId="0" borderId="0" xfId="0" applyFont="1"/>
    <xf numFmtId="0" fontId="6" fillId="0" borderId="1" xfId="0" applyFont="1" applyBorder="1"/>
    <xf numFmtId="165" fontId="7" fillId="0" borderId="1" xfId="0" applyNumberFormat="1" applyFont="1" applyBorder="1"/>
    <xf numFmtId="3" fontId="7" fillId="0" borderId="1" xfId="0" applyNumberFormat="1" applyFont="1" applyBorder="1"/>
    <xf numFmtId="166" fontId="7" fillId="0" borderId="1" xfId="0" applyNumberFormat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3" borderId="17" xfId="0" applyNumberFormat="1" applyFont="1" applyFill="1" applyBorder="1" applyAlignment="1">
      <alignment horizontal="center" vertical="center"/>
    </xf>
    <xf numFmtId="3" fontId="3" fillId="3" borderId="17" xfId="0" applyNumberFormat="1" applyFont="1" applyFill="1" applyBorder="1" applyAlignment="1">
      <alignment horizontal="center" vertical="center"/>
    </xf>
    <xf numFmtId="165" fontId="3" fillId="3" borderId="17" xfId="0" applyNumberFormat="1" applyFont="1" applyFill="1" applyBorder="1" applyAlignment="1">
      <alignment horizontal="center" vertical="center"/>
    </xf>
    <xf numFmtId="166" fontId="3" fillId="4" borderId="17" xfId="0" applyNumberFormat="1" applyFont="1" applyFill="1" applyBorder="1" applyAlignment="1">
      <alignment horizontal="center" vertical="center"/>
    </xf>
    <xf numFmtId="166" fontId="3" fillId="4" borderId="1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777777"/>
      <rgbColor rgb="FF969696"/>
      <rgbColor rgb="FF003366"/>
      <rgbColor rgb="FF1BAF7A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Utilidad por trimestre (2024-2026)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Análisis!$B$18</c:f>
              <c:strCache>
                <c:ptCount val="1"/>
                <c:pt idx="0">
                  <c:v>Utilidad</c:v>
                </c:pt>
              </c:strCache>
            </c:strRef>
          </c:tx>
          <c:spPr>
            <a:ln w="2196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Análisis!$A$19:$A$28</c:f>
              <c:strCache>
                <c:ptCount val="10"/>
                <c:pt idx="0">
                  <c:v>24-T2</c:v>
                </c:pt>
                <c:pt idx="1">
                  <c:v>24-T3</c:v>
                </c:pt>
                <c:pt idx="2">
                  <c:v>24-T4</c:v>
                </c:pt>
                <c:pt idx="3">
                  <c:v>25-T1</c:v>
                </c:pt>
                <c:pt idx="4">
                  <c:v>25-T2</c:v>
                </c:pt>
                <c:pt idx="5">
                  <c:v>25-T3</c:v>
                </c:pt>
                <c:pt idx="6">
                  <c:v>25-T4</c:v>
                </c:pt>
                <c:pt idx="7">
                  <c:v>26-T1</c:v>
                </c:pt>
                <c:pt idx="8">
                  <c:v>26-T2</c:v>
                </c:pt>
                <c:pt idx="9">
                  <c:v>26-T3</c:v>
                </c:pt>
              </c:strCache>
            </c:strRef>
          </c:cat>
          <c:val>
            <c:numRef>
              <c:f>Análisis!$B$19:$B$28</c:f>
              <c:numCache>
                <c:formatCode>\$#,##0.00</c:formatCode>
                <c:ptCount val="10"/>
                <c:pt idx="0">
                  <c:v>9853.4199999999983</c:v>
                </c:pt>
                <c:pt idx="1">
                  <c:v>89487.419999999925</c:v>
                </c:pt>
                <c:pt idx="2">
                  <c:v>76809.340000000011</c:v>
                </c:pt>
                <c:pt idx="3">
                  <c:v>85683.610000000015</c:v>
                </c:pt>
                <c:pt idx="4">
                  <c:v>66926.950000000012</c:v>
                </c:pt>
                <c:pt idx="5">
                  <c:v>79489.08</c:v>
                </c:pt>
                <c:pt idx="6">
                  <c:v>71522.76999999999</c:v>
                </c:pt>
                <c:pt idx="7">
                  <c:v>71102.699999999983</c:v>
                </c:pt>
                <c:pt idx="8">
                  <c:v>47026.689999999944</c:v>
                </c:pt>
                <c:pt idx="9">
                  <c:v>7434.57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82-854C-8BF0-FC672A00A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020435"/>
        <c:axId val="44982564"/>
      </c:lineChart>
      <c:catAx>
        <c:axId val="50204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44982564"/>
        <c:crosses val="autoZero"/>
        <c:auto val="1"/>
        <c:lblAlgn val="ctr"/>
        <c:lblOffset val="100"/>
        <c:noMultiLvlLbl val="0"/>
      </c:catAx>
      <c:valAx>
        <c:axId val="449825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50204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Top 5 productos por utilidad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Análisis!$B$31</c:f>
              <c:strCache>
                <c:ptCount val="1"/>
                <c:pt idx="0">
                  <c:v>Utilidad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Arial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Análisis!$A$32:$A$36</c:f>
              <c:strCache>
                <c:ptCount val="5"/>
                <c:pt idx="0">
                  <c:v>AOCHUAN Smart XE STABILIZER</c:v>
                </c:pt>
                <c:pt idx="1">
                  <c:v>AOCHUAN Smart XE STABILIZER WITH LIGHT</c:v>
                </c:pt>
                <c:pt idx="2">
                  <c:v>AOCHUAN X PRO STABILIZER (GRAY)</c:v>
                </c:pt>
                <c:pt idx="3">
                  <c:v>AOCHUAN X PRO STABILIZER (BLACK)</c:v>
                </c:pt>
                <c:pt idx="4">
                  <c:v>AOCHUAN FILL LIGHT</c:v>
                </c:pt>
              </c:strCache>
            </c:strRef>
          </c:cat>
          <c:val>
            <c:numRef>
              <c:f>Análisis!$B$32:$B$36</c:f>
              <c:numCache>
                <c:formatCode>\$#,##0.00</c:formatCode>
                <c:ptCount val="5"/>
                <c:pt idx="0">
                  <c:v>247015.94000000056</c:v>
                </c:pt>
                <c:pt idx="1">
                  <c:v>95768.92</c:v>
                </c:pt>
                <c:pt idx="2">
                  <c:v>62622.210000000014</c:v>
                </c:pt>
                <c:pt idx="3">
                  <c:v>50756.979999999996</c:v>
                </c:pt>
                <c:pt idx="4">
                  <c:v>20298.489999999994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3-524F-B48D-E375B255E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483778"/>
        <c:axId val="75899651"/>
      </c:barChart>
      <c:catAx>
        <c:axId val="5348377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MX"/>
          </a:p>
        </c:txPr>
        <c:crossAx val="75899651"/>
        <c:crosses val="autoZero"/>
        <c:auto val="1"/>
        <c:lblAlgn val="ctr"/>
        <c:lblOffset val="100"/>
        <c:noMultiLvlLbl val="0"/>
      </c:catAx>
      <c:valAx>
        <c:axId val="75899651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  <a:effectLst/>
          </c:spPr>
        </c:majorGridlines>
        <c:numFmt formatCode="\$#,##0.00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MX"/>
          </a:p>
        </c:txPr>
        <c:crossAx val="53483778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Top 5 estados por utilidad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Análisis!$B$119</c:f>
              <c:strCache>
                <c:ptCount val="1"/>
                <c:pt idx="0">
                  <c:v>$90,584.88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Arial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Análisis!$A$120:$A$124</c:f>
              <c:strCache>
                <c:ptCount val="5"/>
                <c:pt idx="0">
                  <c:v>Mexico City</c:v>
                </c:pt>
                <c:pt idx="1">
                  <c:v>Jalisco</c:v>
                </c:pt>
                <c:pt idx="2">
                  <c:v>Guanajuato</c:v>
                </c:pt>
                <c:pt idx="3">
                  <c:v>Veracruz</c:v>
                </c:pt>
                <c:pt idx="4">
                  <c:v>Nuevo León</c:v>
                </c:pt>
              </c:strCache>
            </c:strRef>
          </c:cat>
          <c:val>
            <c:numRef>
              <c:f>Análisis!$B$120:$B$124</c:f>
              <c:numCache>
                <c:formatCode>\$#,##0.00</c:formatCode>
                <c:ptCount val="5"/>
                <c:pt idx="0">
                  <c:v>61315.189999999973</c:v>
                </c:pt>
                <c:pt idx="1">
                  <c:v>49471.64</c:v>
                </c:pt>
                <c:pt idx="2">
                  <c:v>33765.25999999998</c:v>
                </c:pt>
                <c:pt idx="3">
                  <c:v>32617.69</c:v>
                </c:pt>
                <c:pt idx="4">
                  <c:v>27466.670000000002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F-1840-970F-318E5ABE1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731655"/>
        <c:axId val="66064692"/>
      </c:barChart>
      <c:catAx>
        <c:axId val="6773165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MX"/>
          </a:p>
        </c:txPr>
        <c:crossAx val="66064692"/>
        <c:crosses val="autoZero"/>
        <c:auto val="1"/>
        <c:lblAlgn val="ctr"/>
        <c:lblOffset val="100"/>
        <c:noMultiLvlLbl val="0"/>
      </c:catAx>
      <c:valAx>
        <c:axId val="66064692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  <a:effectLst/>
          </c:spPr>
        </c:majorGridlines>
        <c:numFmt formatCode="\$#,##0.00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MX"/>
          </a:p>
        </c:txPr>
        <c:crossAx val="67731655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Utilidad por año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Análisis!$B$11</c:f>
              <c:strCache>
                <c:ptCount val="1"/>
                <c:pt idx="0">
                  <c:v>Utilidad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Arial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Análisis!$A$12:$A$14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Análisis!$B$12:$B$14</c:f>
              <c:numCache>
                <c:formatCode>\$#,##0.00</c:formatCode>
                <c:ptCount val="3"/>
                <c:pt idx="0">
                  <c:v>176150.17999999976</c:v>
                </c:pt>
                <c:pt idx="1">
                  <c:v>303622.41000000003</c:v>
                </c:pt>
                <c:pt idx="2">
                  <c:v>125563.96000000005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7-5C46-8216-343B40C47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59775"/>
        <c:axId val="57277671"/>
      </c:barChart>
      <c:catAx>
        <c:axId val="116597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MX"/>
          </a:p>
        </c:txPr>
        <c:crossAx val="57277671"/>
        <c:crosses val="autoZero"/>
        <c:auto val="1"/>
        <c:lblAlgn val="ctr"/>
        <c:lblOffset val="100"/>
        <c:noMultiLvlLbl val="0"/>
      </c:catAx>
      <c:valAx>
        <c:axId val="5727767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  <a:effectLst/>
          </c:spPr>
        </c:majorGridlines>
        <c:numFmt formatCode="\$#,##0.00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s-MX"/>
          </a:p>
        </c:txPr>
        <c:crossAx val="11659775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141111</xdr:colOff>
      <xdr:row>5</xdr:row>
      <xdr:rowOff>109753</xdr:rowOff>
    </xdr:from>
    <xdr:to>
      <xdr:col>19</xdr:col>
      <xdr:colOff>1081852</xdr:colOff>
      <xdr:row>38</xdr:row>
      <xdr:rowOff>47037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74D688BB-246E-40D5-9F29-0965F77FA407}"/>
            </a:ext>
          </a:extLst>
        </xdr:cNvPr>
        <xdr:cNvSpPr/>
      </xdr:nvSpPr>
      <xdr:spPr>
        <a:xfrm>
          <a:off x="141111" y="1552222"/>
          <a:ext cx="17466420" cy="6146173"/>
        </a:xfrm>
        <a:prstGeom prst="rect">
          <a:avLst/>
        </a:prstGeom>
        <a:ln w="381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</xdr:col>
      <xdr:colOff>0</xdr:colOff>
      <xdr:row>6</xdr:row>
      <xdr:rowOff>0</xdr:rowOff>
    </xdr:from>
    <xdr:to>
      <xdr:col>8</xdr:col>
      <xdr:colOff>158040</xdr:colOff>
      <xdr:row>21</xdr:row>
      <xdr:rowOff>21599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22</xdr:row>
      <xdr:rowOff>0</xdr:rowOff>
    </xdr:from>
    <xdr:to>
      <xdr:col>8</xdr:col>
      <xdr:colOff>158040</xdr:colOff>
      <xdr:row>37</xdr:row>
      <xdr:rowOff>21600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22</xdr:row>
      <xdr:rowOff>0</xdr:rowOff>
    </xdr:from>
    <xdr:to>
      <xdr:col>19</xdr:col>
      <xdr:colOff>999439</xdr:colOff>
      <xdr:row>37</xdr:row>
      <xdr:rowOff>21600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19</xdr:col>
      <xdr:colOff>999439</xdr:colOff>
      <xdr:row>21</xdr:row>
      <xdr:rowOff>21599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K950" totalsRowShown="0">
  <autoFilter ref="A1:K950" xr:uid="{00000000-0009-0000-0100-000001000000}"/>
  <tableColumns count="11">
    <tableColumn id="1" xr3:uid="{00000000-0010-0000-0000-000001000000}" name="DATE"/>
    <tableColumn id="2" xr3:uid="{00000000-0010-0000-0000-000002000000}" name="CUSTOMER ID"/>
    <tableColumn id="3" xr3:uid="{00000000-0010-0000-0000-000003000000}" name="PRODUCT"/>
    <tableColumn id="4" xr3:uid="{00000000-0010-0000-0000-000004000000}" name="LOCATION"/>
    <tableColumn id="5" xr3:uid="{00000000-0010-0000-0000-000005000000}" name="ACCOUNT INCOME"/>
    <tableColumn id="6" xr3:uid="{00000000-0010-0000-0000-000006000000}" name="SALES COMMISSION"/>
    <tableColumn id="7" xr3:uid="{00000000-0010-0000-0000-000007000000}" name="SUBTOTAL"/>
    <tableColumn id="8" xr3:uid="{00000000-0010-0000-0000-000008000000}" name="INCOME TAX (ISR)"/>
    <tableColumn id="9" xr3:uid="{00000000-0010-0000-0000-000009000000}" name="VAT (IVA)"/>
    <tableColumn id="10" xr3:uid="{00000000-0010-0000-0000-00000A000000}" name="SHIPPING"/>
    <tableColumn id="11" xr3:uid="{00000000-0010-0000-0000-00000B000000}" name="TOTAL PROFI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50"/>
  <sheetViews>
    <sheetView tabSelected="1" zoomScaleNormal="100" workbookViewId="0">
      <pane ySplit="1" topLeftCell="A2" activePane="bottomLeft" state="frozen"/>
      <selection pane="bottomLeft" activeCell="N7" sqref="N7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3" width="30" customWidth="1"/>
    <col min="4" max="4" width="16" customWidth="1"/>
    <col min="5" max="5" width="14" customWidth="1"/>
    <col min="6" max="6" width="16" customWidth="1"/>
    <col min="7" max="7" width="12" customWidth="1"/>
    <col min="8" max="8" width="14" customWidth="1"/>
    <col min="9" max="10" width="12" customWidth="1"/>
    <col min="11" max="11" width="13" customWidth="1"/>
    <col min="12" max="12" width="8" customWidth="1"/>
    <col min="13" max="13" width="9" customWidth="1"/>
  </cols>
  <sheetData>
    <row r="1" spans="1:13" ht="15" customHeight="1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2" t="s">
        <v>17</v>
      </c>
      <c r="M1" s="2" t="s">
        <v>18</v>
      </c>
    </row>
    <row r="2" spans="1:13" ht="15" customHeight="1" x14ac:dyDescent="0.2">
      <c r="A2" s="3">
        <v>45451</v>
      </c>
      <c r="B2" t="s">
        <v>19</v>
      </c>
      <c r="C2" t="s">
        <v>20</v>
      </c>
      <c r="D2" t="s">
        <v>21</v>
      </c>
      <c r="E2" s="4">
        <v>86.33</v>
      </c>
      <c r="F2" s="4">
        <v>37.950000000000003</v>
      </c>
      <c r="G2" s="4">
        <v>74.42</v>
      </c>
      <c r="H2" s="4">
        <v>0.74</v>
      </c>
      <c r="I2" s="4">
        <v>5.95</v>
      </c>
      <c r="J2" s="4">
        <v>0</v>
      </c>
      <c r="K2" s="4">
        <v>41.68</v>
      </c>
      <c r="L2">
        <f t="shared" ref="L2:L65" si="0">YEAR(A2)</f>
        <v>2024</v>
      </c>
      <c r="M2">
        <f t="shared" ref="M2:M65" si="1">ROUNDUP(MONTH(A2)/3,0)</f>
        <v>2</v>
      </c>
    </row>
    <row r="3" spans="1:13" ht="15" customHeight="1" x14ac:dyDescent="0.2">
      <c r="A3" s="3">
        <v>45453</v>
      </c>
      <c r="B3" t="s">
        <v>22</v>
      </c>
      <c r="C3" t="s">
        <v>23</v>
      </c>
      <c r="D3" t="s">
        <v>24</v>
      </c>
      <c r="E3" s="4">
        <v>1299</v>
      </c>
      <c r="F3" s="4">
        <v>188.36</v>
      </c>
      <c r="G3" s="4">
        <v>1119.83</v>
      </c>
      <c r="H3" s="4">
        <v>11.2</v>
      </c>
      <c r="I3" s="4">
        <v>89.59</v>
      </c>
      <c r="J3" s="4">
        <v>95</v>
      </c>
      <c r="K3" s="4">
        <v>914.86</v>
      </c>
      <c r="L3">
        <f t="shared" si="0"/>
        <v>2024</v>
      </c>
      <c r="M3">
        <f t="shared" si="1"/>
        <v>2</v>
      </c>
    </row>
    <row r="4" spans="1:13" ht="15" customHeight="1" x14ac:dyDescent="0.2">
      <c r="A4" s="3">
        <v>45457</v>
      </c>
      <c r="B4" t="s">
        <v>25</v>
      </c>
      <c r="C4" t="s">
        <v>26</v>
      </c>
      <c r="D4" t="s">
        <v>27</v>
      </c>
      <c r="E4" s="4">
        <v>86.33</v>
      </c>
      <c r="F4" s="4">
        <v>37.950000000000003</v>
      </c>
      <c r="G4" s="4">
        <v>74.42</v>
      </c>
      <c r="H4" s="4">
        <v>0.74</v>
      </c>
      <c r="I4" s="4">
        <v>5.95</v>
      </c>
      <c r="J4" s="4">
        <v>0</v>
      </c>
      <c r="K4" s="4">
        <v>41.68</v>
      </c>
      <c r="L4">
        <f t="shared" si="0"/>
        <v>2024</v>
      </c>
      <c r="M4">
        <f t="shared" si="1"/>
        <v>2</v>
      </c>
    </row>
    <row r="5" spans="1:13" ht="15" customHeight="1" x14ac:dyDescent="0.2">
      <c r="A5" s="3">
        <v>45459</v>
      </c>
      <c r="B5" t="s">
        <v>28</v>
      </c>
      <c r="C5" t="s">
        <v>23</v>
      </c>
      <c r="D5" t="s">
        <v>29</v>
      </c>
      <c r="E5" s="4">
        <v>1299</v>
      </c>
      <c r="F5" s="4">
        <v>188.36</v>
      </c>
      <c r="G5" s="4">
        <v>1119.83</v>
      </c>
      <c r="H5" s="4">
        <v>11.2</v>
      </c>
      <c r="I5" s="4">
        <v>89.59</v>
      </c>
      <c r="J5" s="4">
        <v>95</v>
      </c>
      <c r="K5" s="4">
        <v>914.86</v>
      </c>
      <c r="L5">
        <f t="shared" si="0"/>
        <v>2024</v>
      </c>
      <c r="M5">
        <f t="shared" si="1"/>
        <v>2</v>
      </c>
    </row>
    <row r="6" spans="1:13" ht="15" customHeight="1" x14ac:dyDescent="0.2">
      <c r="A6" s="3">
        <v>45461</v>
      </c>
      <c r="B6" t="s">
        <v>30</v>
      </c>
      <c r="C6" t="s">
        <v>31</v>
      </c>
      <c r="D6" t="s">
        <v>21</v>
      </c>
      <c r="E6" s="4">
        <v>1467</v>
      </c>
      <c r="F6" s="4">
        <v>212.72</v>
      </c>
      <c r="G6" s="4">
        <v>1264.6600000000001</v>
      </c>
      <c r="H6" s="4">
        <v>12.65</v>
      </c>
      <c r="I6" s="4">
        <v>101.17</v>
      </c>
      <c r="J6" s="4">
        <v>83.4</v>
      </c>
      <c r="K6" s="4">
        <v>1057.07</v>
      </c>
      <c r="L6">
        <f t="shared" si="0"/>
        <v>2024</v>
      </c>
      <c r="M6">
        <f t="shared" si="1"/>
        <v>2</v>
      </c>
    </row>
    <row r="7" spans="1:13" ht="15" customHeight="1" x14ac:dyDescent="0.2">
      <c r="A7" s="3">
        <v>45463</v>
      </c>
      <c r="B7" t="s">
        <v>32</v>
      </c>
      <c r="C7" t="s">
        <v>31</v>
      </c>
      <c r="D7" t="s">
        <v>33</v>
      </c>
      <c r="E7" s="4">
        <v>1699</v>
      </c>
      <c r="F7" s="4">
        <v>246.36</v>
      </c>
      <c r="G7" s="4">
        <v>1464.66</v>
      </c>
      <c r="H7" s="4">
        <v>14.65</v>
      </c>
      <c r="I7" s="4">
        <v>117.17</v>
      </c>
      <c r="J7" s="4">
        <v>69.5</v>
      </c>
      <c r="K7" s="4">
        <v>1251.33</v>
      </c>
      <c r="L7">
        <f t="shared" si="0"/>
        <v>2024</v>
      </c>
      <c r="M7">
        <f t="shared" si="1"/>
        <v>2</v>
      </c>
    </row>
    <row r="8" spans="1:13" ht="15" customHeight="1" x14ac:dyDescent="0.2">
      <c r="A8" s="3">
        <v>45467</v>
      </c>
      <c r="B8" t="s">
        <v>34</v>
      </c>
      <c r="C8" t="s">
        <v>31</v>
      </c>
      <c r="D8" t="s">
        <v>35</v>
      </c>
      <c r="E8" s="4">
        <v>1899</v>
      </c>
      <c r="F8" s="4">
        <v>284.85000000000002</v>
      </c>
      <c r="G8" s="4">
        <v>1637.07</v>
      </c>
      <c r="H8" s="4">
        <v>16.37</v>
      </c>
      <c r="I8" s="4">
        <v>130.97</v>
      </c>
      <c r="J8" s="4">
        <v>69.5</v>
      </c>
      <c r="K8" s="4">
        <v>1397.31</v>
      </c>
      <c r="L8">
        <f t="shared" si="0"/>
        <v>2024</v>
      </c>
      <c r="M8">
        <f t="shared" si="1"/>
        <v>2</v>
      </c>
    </row>
    <row r="9" spans="1:13" ht="15" customHeight="1" x14ac:dyDescent="0.2">
      <c r="A9" s="3">
        <v>45467</v>
      </c>
      <c r="B9" t="s">
        <v>36</v>
      </c>
      <c r="C9" t="s">
        <v>37</v>
      </c>
      <c r="D9" t="s">
        <v>38</v>
      </c>
      <c r="E9" s="4">
        <v>300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300</v>
      </c>
      <c r="L9">
        <f t="shared" si="0"/>
        <v>2024</v>
      </c>
      <c r="M9">
        <f t="shared" si="1"/>
        <v>2</v>
      </c>
    </row>
    <row r="10" spans="1:13" ht="15" customHeight="1" x14ac:dyDescent="0.2">
      <c r="A10" s="3">
        <v>45467</v>
      </c>
      <c r="B10" t="s">
        <v>36</v>
      </c>
      <c r="C10" t="s">
        <v>37</v>
      </c>
      <c r="D10" t="s">
        <v>38</v>
      </c>
      <c r="E10" s="4">
        <v>300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300</v>
      </c>
      <c r="L10">
        <f t="shared" si="0"/>
        <v>2024</v>
      </c>
      <c r="M10">
        <f t="shared" si="1"/>
        <v>2</v>
      </c>
    </row>
    <row r="11" spans="1:13" ht="15" customHeight="1" x14ac:dyDescent="0.2">
      <c r="A11" s="3">
        <v>45470</v>
      </c>
      <c r="B11" t="s">
        <v>39</v>
      </c>
      <c r="C11" t="s">
        <v>23</v>
      </c>
      <c r="D11" t="s">
        <v>40</v>
      </c>
      <c r="E11" s="4">
        <v>1199</v>
      </c>
      <c r="F11" s="4">
        <v>173.86</v>
      </c>
      <c r="G11" s="4">
        <v>1033.6199999999999</v>
      </c>
      <c r="H11" s="4">
        <v>10.34</v>
      </c>
      <c r="I11" s="4">
        <v>82.69</v>
      </c>
      <c r="J11" s="4">
        <v>95</v>
      </c>
      <c r="K11" s="4">
        <v>837.12</v>
      </c>
      <c r="L11">
        <f t="shared" si="0"/>
        <v>2024</v>
      </c>
      <c r="M11">
        <f t="shared" si="1"/>
        <v>2</v>
      </c>
    </row>
    <row r="12" spans="1:13" ht="15" customHeight="1" x14ac:dyDescent="0.2">
      <c r="A12" s="3">
        <v>45472</v>
      </c>
      <c r="B12" t="s">
        <v>41</v>
      </c>
      <c r="C12" t="s">
        <v>31</v>
      </c>
      <c r="D12" t="s">
        <v>42</v>
      </c>
      <c r="E12" s="4">
        <v>1699</v>
      </c>
      <c r="F12" s="4">
        <v>246.36</v>
      </c>
      <c r="G12" s="4">
        <v>1464.66</v>
      </c>
      <c r="H12" s="4">
        <v>14.65</v>
      </c>
      <c r="I12" s="4">
        <v>117.17</v>
      </c>
      <c r="J12" s="4">
        <v>69.5</v>
      </c>
      <c r="K12" s="4">
        <v>1251.33</v>
      </c>
      <c r="L12">
        <f t="shared" si="0"/>
        <v>2024</v>
      </c>
      <c r="M12">
        <f t="shared" si="1"/>
        <v>2</v>
      </c>
    </row>
    <row r="13" spans="1:13" ht="15" customHeight="1" x14ac:dyDescent="0.2">
      <c r="A13" s="3">
        <v>45473</v>
      </c>
      <c r="B13" t="s">
        <v>43</v>
      </c>
      <c r="C13" t="s">
        <v>44</v>
      </c>
      <c r="D13" t="s">
        <v>38</v>
      </c>
      <c r="E13" s="4">
        <v>200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200</v>
      </c>
      <c r="L13">
        <f t="shared" si="0"/>
        <v>2024</v>
      </c>
      <c r="M13">
        <f t="shared" si="1"/>
        <v>2</v>
      </c>
    </row>
    <row r="14" spans="1:13" ht="15" customHeight="1" x14ac:dyDescent="0.2">
      <c r="A14" s="3">
        <v>45473</v>
      </c>
      <c r="B14" t="s">
        <v>45</v>
      </c>
      <c r="C14" t="s">
        <v>46</v>
      </c>
      <c r="D14" t="s">
        <v>38</v>
      </c>
      <c r="E14" s="4">
        <v>180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180</v>
      </c>
      <c r="L14">
        <f t="shared" si="0"/>
        <v>2024</v>
      </c>
      <c r="M14">
        <f t="shared" si="1"/>
        <v>2</v>
      </c>
    </row>
    <row r="15" spans="1:13" ht="15" customHeight="1" x14ac:dyDescent="0.2">
      <c r="A15" s="3">
        <v>45473</v>
      </c>
      <c r="B15" t="s">
        <v>45</v>
      </c>
      <c r="C15" t="s">
        <v>44</v>
      </c>
      <c r="D15" t="s">
        <v>38</v>
      </c>
      <c r="E15" s="4">
        <v>160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160</v>
      </c>
      <c r="L15">
        <f t="shared" si="0"/>
        <v>2024</v>
      </c>
      <c r="M15">
        <f t="shared" si="1"/>
        <v>2</v>
      </c>
    </row>
    <row r="16" spans="1:13" ht="15" customHeight="1" x14ac:dyDescent="0.2">
      <c r="A16" s="3">
        <v>45473</v>
      </c>
      <c r="B16" t="s">
        <v>45</v>
      </c>
      <c r="C16" t="s">
        <v>44</v>
      </c>
      <c r="D16" t="s">
        <v>38</v>
      </c>
      <c r="E16" s="4">
        <v>180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160</v>
      </c>
      <c r="L16">
        <f t="shared" si="0"/>
        <v>2024</v>
      </c>
      <c r="M16">
        <f t="shared" si="1"/>
        <v>2</v>
      </c>
    </row>
    <row r="17" spans="1:13" ht="15" customHeight="1" x14ac:dyDescent="0.2">
      <c r="A17" s="3">
        <v>45473</v>
      </c>
      <c r="B17" t="s">
        <v>47</v>
      </c>
      <c r="C17" t="s">
        <v>48</v>
      </c>
      <c r="D17" t="s">
        <v>49</v>
      </c>
      <c r="E17" s="4">
        <v>1195</v>
      </c>
      <c r="F17" s="4">
        <v>166.11</v>
      </c>
      <c r="G17" s="4">
        <v>1030.17</v>
      </c>
      <c r="H17" s="4">
        <v>10.3</v>
      </c>
      <c r="I17" s="4">
        <v>82.41</v>
      </c>
      <c r="J17" s="4">
        <v>90</v>
      </c>
      <c r="K17" s="4">
        <v>846.18</v>
      </c>
      <c r="L17">
        <f t="shared" si="0"/>
        <v>2024</v>
      </c>
      <c r="M17">
        <f t="shared" si="1"/>
        <v>2</v>
      </c>
    </row>
    <row r="18" spans="1:13" ht="15" customHeight="1" x14ac:dyDescent="0.2">
      <c r="A18" s="3">
        <v>45474</v>
      </c>
      <c r="B18" t="s">
        <v>50</v>
      </c>
      <c r="C18" t="s">
        <v>31</v>
      </c>
      <c r="D18" t="s">
        <v>38</v>
      </c>
      <c r="E18" s="4">
        <v>1899</v>
      </c>
      <c r="F18" s="4">
        <v>275.36</v>
      </c>
      <c r="G18" s="4">
        <v>1637.07</v>
      </c>
      <c r="H18" s="4">
        <v>16.37</v>
      </c>
      <c r="I18" s="4">
        <v>130.97</v>
      </c>
      <c r="J18" s="4">
        <v>69.5</v>
      </c>
      <c r="K18" s="4">
        <v>1406.81</v>
      </c>
      <c r="L18">
        <f t="shared" si="0"/>
        <v>2024</v>
      </c>
      <c r="M18">
        <f t="shared" si="1"/>
        <v>3</v>
      </c>
    </row>
    <row r="19" spans="1:13" ht="15" customHeight="1" x14ac:dyDescent="0.2">
      <c r="A19" s="3">
        <v>45475</v>
      </c>
      <c r="B19" t="s">
        <v>51</v>
      </c>
      <c r="C19" t="s">
        <v>52</v>
      </c>
      <c r="D19" t="s">
        <v>53</v>
      </c>
      <c r="E19" s="4">
        <v>299</v>
      </c>
      <c r="F19" s="4">
        <v>58.31</v>
      </c>
      <c r="G19" s="4">
        <v>257.76</v>
      </c>
      <c r="H19" s="4">
        <v>2.58</v>
      </c>
      <c r="I19" s="4">
        <v>20.62</v>
      </c>
      <c r="J19" s="4">
        <v>91</v>
      </c>
      <c r="K19" s="4">
        <v>126.5</v>
      </c>
      <c r="L19">
        <f t="shared" si="0"/>
        <v>2024</v>
      </c>
      <c r="M19">
        <f t="shared" si="1"/>
        <v>3</v>
      </c>
    </row>
    <row r="20" spans="1:13" ht="15" customHeight="1" x14ac:dyDescent="0.2">
      <c r="A20" s="3">
        <v>45477</v>
      </c>
      <c r="B20" t="s">
        <v>54</v>
      </c>
      <c r="C20" t="s">
        <v>55</v>
      </c>
      <c r="D20" t="s">
        <v>56</v>
      </c>
      <c r="E20" s="4">
        <v>299</v>
      </c>
      <c r="F20" s="4">
        <v>58.31</v>
      </c>
      <c r="G20" s="4">
        <v>257.76</v>
      </c>
      <c r="H20" s="4">
        <v>2.58</v>
      </c>
      <c r="I20" s="4">
        <v>20.62</v>
      </c>
      <c r="J20" s="4">
        <v>69.5</v>
      </c>
      <c r="K20" s="4">
        <v>148</v>
      </c>
      <c r="L20">
        <f t="shared" si="0"/>
        <v>2024</v>
      </c>
      <c r="M20">
        <f t="shared" si="1"/>
        <v>3</v>
      </c>
    </row>
    <row r="21" spans="1:13" ht="15" customHeight="1" x14ac:dyDescent="0.2">
      <c r="A21" s="3">
        <v>45478</v>
      </c>
      <c r="B21" t="s">
        <v>57</v>
      </c>
      <c r="C21" t="s">
        <v>31</v>
      </c>
      <c r="D21" t="s">
        <v>21</v>
      </c>
      <c r="E21" s="4">
        <v>1699</v>
      </c>
      <c r="F21" s="4">
        <v>246.36</v>
      </c>
      <c r="G21" s="4">
        <v>1464.66</v>
      </c>
      <c r="H21" s="4">
        <v>14.65</v>
      </c>
      <c r="I21" s="4">
        <v>117.17</v>
      </c>
      <c r="J21" s="4">
        <v>69.5</v>
      </c>
      <c r="K21" s="4">
        <v>1251.33</v>
      </c>
      <c r="L21">
        <f t="shared" si="0"/>
        <v>2024</v>
      </c>
      <c r="M21">
        <f t="shared" si="1"/>
        <v>3</v>
      </c>
    </row>
    <row r="22" spans="1:13" ht="15" customHeight="1" x14ac:dyDescent="0.2">
      <c r="A22" s="3">
        <v>45478</v>
      </c>
      <c r="B22" t="s">
        <v>58</v>
      </c>
      <c r="C22" t="s">
        <v>31</v>
      </c>
      <c r="D22" t="s">
        <v>59</v>
      </c>
      <c r="E22" s="4">
        <v>1699</v>
      </c>
      <c r="F22" s="4">
        <v>246.36</v>
      </c>
      <c r="G22" s="4">
        <v>1464.66</v>
      </c>
      <c r="H22" s="4">
        <v>14.65</v>
      </c>
      <c r="I22" s="4">
        <v>117.17</v>
      </c>
      <c r="J22" s="4">
        <v>69.5</v>
      </c>
      <c r="K22" s="4">
        <v>1251.33</v>
      </c>
      <c r="L22">
        <f t="shared" si="0"/>
        <v>2024</v>
      </c>
      <c r="M22">
        <f t="shared" si="1"/>
        <v>3</v>
      </c>
    </row>
    <row r="23" spans="1:13" ht="15" customHeight="1" x14ac:dyDescent="0.2">
      <c r="A23" s="3">
        <v>45478</v>
      </c>
      <c r="B23" t="s">
        <v>36</v>
      </c>
      <c r="C23" t="s">
        <v>60</v>
      </c>
      <c r="D23" t="s">
        <v>38</v>
      </c>
      <c r="E23" s="4">
        <v>600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600</v>
      </c>
      <c r="L23">
        <f t="shared" si="0"/>
        <v>2024</v>
      </c>
      <c r="M23">
        <f t="shared" si="1"/>
        <v>3</v>
      </c>
    </row>
    <row r="24" spans="1:13" ht="15" customHeight="1" x14ac:dyDescent="0.2">
      <c r="A24" s="3">
        <v>45478</v>
      </c>
      <c r="B24" t="s">
        <v>61</v>
      </c>
      <c r="C24" t="s">
        <v>62</v>
      </c>
      <c r="D24" t="s">
        <v>38</v>
      </c>
      <c r="E24" s="4">
        <v>600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600</v>
      </c>
      <c r="L24">
        <f t="shared" si="0"/>
        <v>2024</v>
      </c>
      <c r="M24">
        <f t="shared" si="1"/>
        <v>3</v>
      </c>
    </row>
    <row r="25" spans="1:13" ht="15" customHeight="1" x14ac:dyDescent="0.2">
      <c r="A25" s="3">
        <v>45480</v>
      </c>
      <c r="B25" t="s">
        <v>63</v>
      </c>
      <c r="C25" t="s">
        <v>64</v>
      </c>
      <c r="D25" t="s">
        <v>65</v>
      </c>
      <c r="E25" s="4">
        <v>149</v>
      </c>
      <c r="F25" s="4">
        <v>59.06</v>
      </c>
      <c r="G25" s="4">
        <v>128.44999999999999</v>
      </c>
      <c r="H25" s="4">
        <v>1.28</v>
      </c>
      <c r="I25" s="4">
        <v>10.28</v>
      </c>
      <c r="J25" s="4">
        <v>0</v>
      </c>
      <c r="K25" s="4">
        <v>78.38</v>
      </c>
      <c r="L25">
        <f t="shared" si="0"/>
        <v>2024</v>
      </c>
      <c r="M25">
        <f t="shared" si="1"/>
        <v>3</v>
      </c>
    </row>
    <row r="26" spans="1:13" ht="15" customHeight="1" x14ac:dyDescent="0.2">
      <c r="A26" s="3">
        <v>45480</v>
      </c>
      <c r="B26" t="s">
        <v>66</v>
      </c>
      <c r="C26" t="s">
        <v>67</v>
      </c>
      <c r="D26" t="s">
        <v>21</v>
      </c>
      <c r="E26" s="4">
        <v>1799.1</v>
      </c>
      <c r="F26" s="4">
        <v>260.87</v>
      </c>
      <c r="G26" s="4">
        <v>1550.95</v>
      </c>
      <c r="H26" s="4">
        <v>15.51</v>
      </c>
      <c r="I26" s="4">
        <v>124.08</v>
      </c>
      <c r="J26" s="4">
        <v>69.5</v>
      </c>
      <c r="K26" s="4">
        <v>1329.15</v>
      </c>
      <c r="L26">
        <f t="shared" si="0"/>
        <v>2024</v>
      </c>
      <c r="M26">
        <f t="shared" si="1"/>
        <v>3</v>
      </c>
    </row>
    <row r="27" spans="1:13" ht="15" customHeight="1" x14ac:dyDescent="0.2">
      <c r="A27" s="3">
        <v>45480</v>
      </c>
      <c r="B27" t="s">
        <v>36</v>
      </c>
      <c r="C27" t="s">
        <v>68</v>
      </c>
      <c r="D27" t="s">
        <v>38</v>
      </c>
      <c r="E27" s="4">
        <v>300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300</v>
      </c>
      <c r="L27">
        <f t="shared" si="0"/>
        <v>2024</v>
      </c>
      <c r="M27">
        <f t="shared" si="1"/>
        <v>3</v>
      </c>
    </row>
    <row r="28" spans="1:13" ht="15" customHeight="1" x14ac:dyDescent="0.2">
      <c r="A28" s="3">
        <v>45480</v>
      </c>
      <c r="B28" t="s">
        <v>61</v>
      </c>
      <c r="C28" t="s">
        <v>69</v>
      </c>
      <c r="D28" t="s">
        <v>38</v>
      </c>
      <c r="E28" s="4">
        <v>300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300</v>
      </c>
      <c r="L28">
        <f t="shared" si="0"/>
        <v>2024</v>
      </c>
      <c r="M28">
        <f t="shared" si="1"/>
        <v>3</v>
      </c>
    </row>
    <row r="29" spans="1:13" ht="15" customHeight="1" x14ac:dyDescent="0.2">
      <c r="A29" s="3">
        <v>45483</v>
      </c>
      <c r="B29" t="s">
        <v>70</v>
      </c>
      <c r="C29" t="s">
        <v>71</v>
      </c>
      <c r="D29" t="s">
        <v>35</v>
      </c>
      <c r="E29" s="4">
        <v>194.5</v>
      </c>
      <c r="F29" s="4">
        <v>29.18</v>
      </c>
      <c r="G29" s="4">
        <v>167.67</v>
      </c>
      <c r="H29" s="4">
        <v>1.68</v>
      </c>
      <c r="I29" s="4">
        <v>13.41</v>
      </c>
      <c r="J29" s="4">
        <v>37.75</v>
      </c>
      <c r="K29" s="4">
        <v>112.48</v>
      </c>
      <c r="L29">
        <f t="shared" si="0"/>
        <v>2024</v>
      </c>
      <c r="M29">
        <f t="shared" si="1"/>
        <v>3</v>
      </c>
    </row>
    <row r="30" spans="1:13" ht="15" customHeight="1" x14ac:dyDescent="0.2">
      <c r="A30" s="3">
        <v>45483</v>
      </c>
      <c r="B30" t="s">
        <v>70</v>
      </c>
      <c r="C30" t="s">
        <v>72</v>
      </c>
      <c r="D30" t="s">
        <v>35</v>
      </c>
      <c r="E30" s="4">
        <v>194.5</v>
      </c>
      <c r="F30" s="4">
        <v>29.18</v>
      </c>
      <c r="G30" s="4">
        <v>167.67</v>
      </c>
      <c r="H30" s="4">
        <v>1.68</v>
      </c>
      <c r="I30" s="4">
        <v>13.41</v>
      </c>
      <c r="J30" s="4">
        <v>37.75</v>
      </c>
      <c r="K30" s="4">
        <v>112.48</v>
      </c>
      <c r="L30">
        <f t="shared" si="0"/>
        <v>2024</v>
      </c>
      <c r="M30">
        <f t="shared" si="1"/>
        <v>3</v>
      </c>
    </row>
    <row r="31" spans="1:13" ht="15" customHeight="1" x14ac:dyDescent="0.2">
      <c r="A31" s="3">
        <v>45484</v>
      </c>
      <c r="B31" t="s">
        <v>73</v>
      </c>
      <c r="C31" t="s">
        <v>74</v>
      </c>
      <c r="D31" t="s">
        <v>40</v>
      </c>
      <c r="E31" s="4">
        <v>1576.05</v>
      </c>
      <c r="F31" s="4">
        <v>228.53</v>
      </c>
      <c r="G31" s="4">
        <v>1358.66</v>
      </c>
      <c r="H31" s="4">
        <v>13.59</v>
      </c>
      <c r="I31" s="4">
        <v>108.69</v>
      </c>
      <c r="J31" s="4">
        <v>69.5</v>
      </c>
      <c r="K31" s="4">
        <v>1155.74</v>
      </c>
      <c r="L31">
        <f t="shared" si="0"/>
        <v>2024</v>
      </c>
      <c r="M31">
        <f t="shared" si="1"/>
        <v>3</v>
      </c>
    </row>
    <row r="32" spans="1:13" ht="15" customHeight="1" x14ac:dyDescent="0.2">
      <c r="A32" s="3">
        <v>45484</v>
      </c>
      <c r="B32" t="s">
        <v>75</v>
      </c>
      <c r="C32" t="s">
        <v>76</v>
      </c>
      <c r="D32" t="s">
        <v>77</v>
      </c>
      <c r="E32" s="4">
        <v>1861.05</v>
      </c>
      <c r="F32" s="4">
        <v>269.85000000000002</v>
      </c>
      <c r="G32" s="4">
        <v>1604.35</v>
      </c>
      <c r="H32" s="4">
        <v>16.04</v>
      </c>
      <c r="I32" s="4">
        <v>128.35</v>
      </c>
      <c r="J32" s="4">
        <v>69.5</v>
      </c>
      <c r="K32" s="4">
        <v>1377.31</v>
      </c>
      <c r="L32">
        <f t="shared" si="0"/>
        <v>2024</v>
      </c>
      <c r="M32">
        <f t="shared" si="1"/>
        <v>3</v>
      </c>
    </row>
    <row r="33" spans="1:13" ht="15" customHeight="1" x14ac:dyDescent="0.2">
      <c r="A33" s="3">
        <v>45485</v>
      </c>
      <c r="B33" t="s">
        <v>78</v>
      </c>
      <c r="C33" t="s">
        <v>79</v>
      </c>
      <c r="D33" t="s">
        <v>77</v>
      </c>
      <c r="E33" s="4">
        <v>331.55</v>
      </c>
      <c r="F33" s="4">
        <v>64.650000000000006</v>
      </c>
      <c r="G33" s="4">
        <v>285.82</v>
      </c>
      <c r="H33" s="4">
        <v>2.86</v>
      </c>
      <c r="I33" s="4">
        <v>22.87</v>
      </c>
      <c r="J33" s="4">
        <v>75.5</v>
      </c>
      <c r="K33" s="4">
        <v>165.67</v>
      </c>
      <c r="L33">
        <f t="shared" si="0"/>
        <v>2024</v>
      </c>
      <c r="M33">
        <f t="shared" si="1"/>
        <v>3</v>
      </c>
    </row>
    <row r="34" spans="1:13" ht="15" customHeight="1" x14ac:dyDescent="0.2">
      <c r="A34" s="3">
        <v>45488</v>
      </c>
      <c r="B34" t="s">
        <v>36</v>
      </c>
      <c r="C34" t="s">
        <v>74</v>
      </c>
      <c r="D34" t="s">
        <v>38</v>
      </c>
      <c r="E34" s="4">
        <v>600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600</v>
      </c>
      <c r="L34">
        <f t="shared" si="0"/>
        <v>2024</v>
      </c>
      <c r="M34">
        <f t="shared" si="1"/>
        <v>3</v>
      </c>
    </row>
    <row r="35" spans="1:13" ht="15" customHeight="1" x14ac:dyDescent="0.2">
      <c r="A35" s="3">
        <v>45492</v>
      </c>
      <c r="B35" t="s">
        <v>80</v>
      </c>
      <c r="C35" t="s">
        <v>31</v>
      </c>
      <c r="D35" t="s">
        <v>81</v>
      </c>
      <c r="E35" s="4">
        <v>1700.1</v>
      </c>
      <c r="F35" s="4">
        <v>246.51</v>
      </c>
      <c r="G35" s="4">
        <v>1465.6</v>
      </c>
      <c r="H35" s="4">
        <v>14.66</v>
      </c>
      <c r="I35" s="4">
        <v>117.25</v>
      </c>
      <c r="J35" s="4">
        <v>69.5</v>
      </c>
      <c r="K35" s="4">
        <v>1252.18</v>
      </c>
      <c r="L35">
        <f t="shared" si="0"/>
        <v>2024</v>
      </c>
      <c r="M35">
        <f t="shared" si="1"/>
        <v>3</v>
      </c>
    </row>
    <row r="36" spans="1:13" ht="15" customHeight="1" x14ac:dyDescent="0.2">
      <c r="A36" s="3">
        <v>45492</v>
      </c>
      <c r="B36" t="s">
        <v>82</v>
      </c>
      <c r="C36" t="s">
        <v>23</v>
      </c>
      <c r="D36" t="s">
        <v>29</v>
      </c>
      <c r="E36" s="4">
        <v>1039.2</v>
      </c>
      <c r="F36" s="4">
        <v>150.68</v>
      </c>
      <c r="G36" s="4">
        <v>895.86</v>
      </c>
      <c r="H36" s="4">
        <v>8.9600000000000009</v>
      </c>
      <c r="I36" s="4">
        <v>71.67</v>
      </c>
      <c r="J36" s="4">
        <v>95</v>
      </c>
      <c r="K36" s="4">
        <v>712.89</v>
      </c>
      <c r="L36">
        <f t="shared" si="0"/>
        <v>2024</v>
      </c>
      <c r="M36">
        <f t="shared" si="1"/>
        <v>3</v>
      </c>
    </row>
    <row r="37" spans="1:13" ht="15" customHeight="1" x14ac:dyDescent="0.2">
      <c r="A37" s="3">
        <v>45494</v>
      </c>
      <c r="B37" t="s">
        <v>83</v>
      </c>
      <c r="C37" t="s">
        <v>31</v>
      </c>
      <c r="D37" t="s">
        <v>38</v>
      </c>
      <c r="E37" s="4">
        <v>1700.1</v>
      </c>
      <c r="F37" s="4">
        <v>246.51</v>
      </c>
      <c r="G37" s="4">
        <v>1465.6</v>
      </c>
      <c r="H37" s="4">
        <v>14.66</v>
      </c>
      <c r="I37" s="4">
        <v>117.25</v>
      </c>
      <c r="J37" s="4">
        <v>69.5</v>
      </c>
      <c r="K37" s="4">
        <v>1252.18</v>
      </c>
      <c r="L37">
        <f t="shared" si="0"/>
        <v>2024</v>
      </c>
      <c r="M37">
        <f t="shared" si="1"/>
        <v>3</v>
      </c>
    </row>
    <row r="38" spans="1:13" ht="15" customHeight="1" x14ac:dyDescent="0.2">
      <c r="A38" s="3">
        <v>45494</v>
      </c>
      <c r="B38" t="s">
        <v>84</v>
      </c>
      <c r="C38" t="s">
        <v>52</v>
      </c>
      <c r="D38" t="s">
        <v>85</v>
      </c>
      <c r="E38" s="4">
        <v>353.65</v>
      </c>
      <c r="F38" s="4">
        <v>123.96</v>
      </c>
      <c r="G38" s="4">
        <v>304.87</v>
      </c>
      <c r="H38" s="4">
        <v>3.05</v>
      </c>
      <c r="I38" s="4">
        <v>24.39</v>
      </c>
      <c r="J38" s="4">
        <v>0</v>
      </c>
      <c r="K38" s="4">
        <v>202.25</v>
      </c>
      <c r="L38">
        <f t="shared" si="0"/>
        <v>2024</v>
      </c>
      <c r="M38">
        <f t="shared" si="1"/>
        <v>3</v>
      </c>
    </row>
    <row r="39" spans="1:13" ht="15" customHeight="1" x14ac:dyDescent="0.2">
      <c r="A39" s="3">
        <v>45494</v>
      </c>
      <c r="B39" t="s">
        <v>84</v>
      </c>
      <c r="C39" t="s">
        <v>86</v>
      </c>
      <c r="D39" t="s">
        <v>85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>
        <f t="shared" si="0"/>
        <v>2024</v>
      </c>
      <c r="M39">
        <f t="shared" si="1"/>
        <v>3</v>
      </c>
    </row>
    <row r="40" spans="1:13" ht="15" customHeight="1" x14ac:dyDescent="0.2">
      <c r="A40" s="3">
        <v>45494</v>
      </c>
      <c r="B40" t="s">
        <v>87</v>
      </c>
      <c r="C40" t="s">
        <v>23</v>
      </c>
      <c r="D40" t="s">
        <v>38</v>
      </c>
      <c r="E40" s="4">
        <v>1039.2</v>
      </c>
      <c r="F40" s="4">
        <v>150.68</v>
      </c>
      <c r="G40" s="4">
        <v>895.86</v>
      </c>
      <c r="H40" s="4">
        <v>8.9600000000000009</v>
      </c>
      <c r="I40" s="4">
        <v>71.67</v>
      </c>
      <c r="J40" s="4">
        <v>95</v>
      </c>
      <c r="K40" s="4">
        <v>712.89</v>
      </c>
      <c r="L40">
        <f t="shared" si="0"/>
        <v>2024</v>
      </c>
      <c r="M40">
        <f t="shared" si="1"/>
        <v>3</v>
      </c>
    </row>
    <row r="41" spans="1:13" ht="15" customHeight="1" x14ac:dyDescent="0.2">
      <c r="A41" s="3">
        <v>45494</v>
      </c>
      <c r="B41" t="s">
        <v>88</v>
      </c>
      <c r="C41" t="s">
        <v>67</v>
      </c>
      <c r="D41" t="s">
        <v>33</v>
      </c>
      <c r="E41" s="4">
        <v>1709.1</v>
      </c>
      <c r="F41" s="4">
        <v>247.82</v>
      </c>
      <c r="G41" s="4">
        <v>1473.36</v>
      </c>
      <c r="H41" s="4">
        <v>14.73</v>
      </c>
      <c r="I41" s="4">
        <v>117.87</v>
      </c>
      <c r="J41" s="4">
        <v>69.5</v>
      </c>
      <c r="K41" s="4">
        <v>1259.18</v>
      </c>
      <c r="L41">
        <f t="shared" si="0"/>
        <v>2024</v>
      </c>
      <c r="M41">
        <f t="shared" si="1"/>
        <v>3</v>
      </c>
    </row>
    <row r="42" spans="1:13" ht="15" customHeight="1" x14ac:dyDescent="0.2">
      <c r="A42" s="3">
        <v>45495</v>
      </c>
      <c r="B42" t="s">
        <v>89</v>
      </c>
      <c r="C42" t="s">
        <v>90</v>
      </c>
      <c r="D42" t="s">
        <v>42</v>
      </c>
      <c r="E42" s="4">
        <v>284.05</v>
      </c>
      <c r="F42" s="4">
        <v>71.19</v>
      </c>
      <c r="G42" s="4">
        <v>244.87</v>
      </c>
      <c r="H42" s="4">
        <v>2.4500000000000002</v>
      </c>
      <c r="I42" s="4">
        <v>19.59</v>
      </c>
      <c r="J42" s="4">
        <v>105.7</v>
      </c>
      <c r="K42" s="4">
        <v>85.12</v>
      </c>
      <c r="L42">
        <f t="shared" si="0"/>
        <v>2024</v>
      </c>
      <c r="M42">
        <f t="shared" si="1"/>
        <v>3</v>
      </c>
    </row>
    <row r="43" spans="1:13" ht="15" customHeight="1" x14ac:dyDescent="0.2">
      <c r="A43" s="3">
        <v>45495</v>
      </c>
      <c r="B43" t="s">
        <v>91</v>
      </c>
      <c r="C43" t="s">
        <v>92</v>
      </c>
      <c r="D43" t="s">
        <v>93</v>
      </c>
      <c r="E43" s="4">
        <v>299</v>
      </c>
      <c r="F43" s="4">
        <v>58.31</v>
      </c>
      <c r="G43" s="4">
        <v>257.76</v>
      </c>
      <c r="H43" s="4">
        <v>2.58</v>
      </c>
      <c r="I43" s="4">
        <v>20.62</v>
      </c>
      <c r="J43" s="4">
        <v>91</v>
      </c>
      <c r="K43" s="4">
        <v>126.5</v>
      </c>
      <c r="L43">
        <f t="shared" si="0"/>
        <v>2024</v>
      </c>
      <c r="M43">
        <f t="shared" si="1"/>
        <v>3</v>
      </c>
    </row>
    <row r="44" spans="1:13" ht="15" customHeight="1" x14ac:dyDescent="0.2">
      <c r="A44" s="3">
        <v>45496</v>
      </c>
      <c r="B44" t="s">
        <v>94</v>
      </c>
      <c r="C44" t="s">
        <v>95</v>
      </c>
      <c r="D44" t="s">
        <v>29</v>
      </c>
      <c r="E44" s="4">
        <v>474.05</v>
      </c>
      <c r="F44" s="4">
        <v>68.739999999999995</v>
      </c>
      <c r="G44" s="4">
        <v>408.66</v>
      </c>
      <c r="H44" s="4">
        <v>4.09</v>
      </c>
      <c r="I44" s="4">
        <v>32.69</v>
      </c>
      <c r="J44" s="4">
        <v>91</v>
      </c>
      <c r="K44" s="4">
        <v>277.52999999999997</v>
      </c>
      <c r="L44">
        <f t="shared" si="0"/>
        <v>2024</v>
      </c>
      <c r="M44">
        <f t="shared" si="1"/>
        <v>3</v>
      </c>
    </row>
    <row r="45" spans="1:13" ht="15" customHeight="1" x14ac:dyDescent="0.2">
      <c r="A45" s="3">
        <v>45496</v>
      </c>
      <c r="B45" t="s">
        <v>96</v>
      </c>
      <c r="C45" t="s">
        <v>23</v>
      </c>
      <c r="D45" t="s">
        <v>49</v>
      </c>
      <c r="E45" s="4">
        <v>1019</v>
      </c>
      <c r="F45" s="4">
        <v>147.76</v>
      </c>
      <c r="G45" s="4">
        <v>878.45</v>
      </c>
      <c r="H45" s="4">
        <v>8.7799999999999994</v>
      </c>
      <c r="I45" s="4">
        <v>70.28</v>
      </c>
      <c r="J45" s="4">
        <v>95</v>
      </c>
      <c r="K45" s="4">
        <v>697.18</v>
      </c>
      <c r="L45">
        <f t="shared" si="0"/>
        <v>2024</v>
      </c>
      <c r="M45">
        <f t="shared" si="1"/>
        <v>3</v>
      </c>
    </row>
    <row r="46" spans="1:13" ht="15" customHeight="1" x14ac:dyDescent="0.2">
      <c r="A46" s="3">
        <v>45497</v>
      </c>
      <c r="B46" t="s">
        <v>97</v>
      </c>
      <c r="C46" t="s">
        <v>67</v>
      </c>
      <c r="D46" t="s">
        <v>93</v>
      </c>
      <c r="E46" s="4">
        <v>1799.1</v>
      </c>
      <c r="F46" s="4">
        <v>260.87</v>
      </c>
      <c r="G46" s="4">
        <v>1550.95</v>
      </c>
      <c r="H46" s="4">
        <v>15.51</v>
      </c>
      <c r="I46" s="4">
        <v>124.08</v>
      </c>
      <c r="J46" s="4">
        <v>69.5</v>
      </c>
      <c r="K46" s="4">
        <v>1329.15</v>
      </c>
      <c r="L46">
        <f t="shared" si="0"/>
        <v>2024</v>
      </c>
      <c r="M46">
        <f t="shared" si="1"/>
        <v>3</v>
      </c>
    </row>
    <row r="47" spans="1:13" ht="15" customHeight="1" x14ac:dyDescent="0.2">
      <c r="A47" s="3">
        <v>45499</v>
      </c>
      <c r="B47" t="s">
        <v>98</v>
      </c>
      <c r="C47" t="s">
        <v>52</v>
      </c>
      <c r="D47" t="s">
        <v>77</v>
      </c>
      <c r="E47" s="4">
        <v>299</v>
      </c>
      <c r="F47" s="4">
        <v>58.31</v>
      </c>
      <c r="G47" s="4">
        <v>257.76</v>
      </c>
      <c r="H47" s="4">
        <v>2.58</v>
      </c>
      <c r="I47" s="4">
        <v>20.62</v>
      </c>
      <c r="J47" s="4">
        <v>91</v>
      </c>
      <c r="K47" s="4">
        <v>126.5</v>
      </c>
      <c r="L47">
        <f t="shared" si="0"/>
        <v>2024</v>
      </c>
      <c r="M47">
        <f t="shared" si="1"/>
        <v>3</v>
      </c>
    </row>
    <row r="48" spans="1:13" ht="15" customHeight="1" x14ac:dyDescent="0.2">
      <c r="A48" s="3">
        <v>45505</v>
      </c>
      <c r="B48" t="s">
        <v>45</v>
      </c>
      <c r="C48" t="s">
        <v>99</v>
      </c>
      <c r="D48" t="s">
        <v>38</v>
      </c>
      <c r="E48" s="4">
        <v>200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200</v>
      </c>
      <c r="L48">
        <f t="shared" si="0"/>
        <v>2024</v>
      </c>
      <c r="M48">
        <f t="shared" si="1"/>
        <v>3</v>
      </c>
    </row>
    <row r="49" spans="1:13" ht="15" customHeight="1" x14ac:dyDescent="0.2">
      <c r="A49" s="3">
        <v>45505</v>
      </c>
      <c r="B49" t="s">
        <v>45</v>
      </c>
      <c r="C49" t="s">
        <v>99</v>
      </c>
      <c r="D49" t="s">
        <v>38</v>
      </c>
      <c r="E49" s="4">
        <v>200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200</v>
      </c>
      <c r="L49">
        <f t="shared" si="0"/>
        <v>2024</v>
      </c>
      <c r="M49">
        <f t="shared" si="1"/>
        <v>3</v>
      </c>
    </row>
    <row r="50" spans="1:13" ht="15" customHeight="1" x14ac:dyDescent="0.2">
      <c r="A50" s="3">
        <v>45505</v>
      </c>
      <c r="B50" t="s">
        <v>45</v>
      </c>
      <c r="C50" t="s">
        <v>99</v>
      </c>
      <c r="D50" t="s">
        <v>38</v>
      </c>
      <c r="E50" s="4">
        <v>200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200</v>
      </c>
      <c r="L50">
        <f t="shared" si="0"/>
        <v>2024</v>
      </c>
      <c r="M50">
        <f t="shared" si="1"/>
        <v>3</v>
      </c>
    </row>
    <row r="51" spans="1:13" ht="15" customHeight="1" x14ac:dyDescent="0.2">
      <c r="A51" s="3">
        <v>45505</v>
      </c>
      <c r="B51" t="s">
        <v>45</v>
      </c>
      <c r="C51" t="s">
        <v>44</v>
      </c>
      <c r="D51" t="s">
        <v>38</v>
      </c>
      <c r="E51" s="4">
        <v>180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180</v>
      </c>
      <c r="L51">
        <f t="shared" si="0"/>
        <v>2024</v>
      </c>
      <c r="M51">
        <f t="shared" si="1"/>
        <v>3</v>
      </c>
    </row>
    <row r="52" spans="1:13" ht="15" customHeight="1" x14ac:dyDescent="0.2">
      <c r="A52" s="3">
        <v>45505</v>
      </c>
      <c r="B52" t="s">
        <v>45</v>
      </c>
      <c r="C52" t="s">
        <v>44</v>
      </c>
      <c r="D52" t="s">
        <v>38</v>
      </c>
      <c r="E52" s="4">
        <v>200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200</v>
      </c>
      <c r="L52">
        <f t="shared" si="0"/>
        <v>2024</v>
      </c>
      <c r="M52">
        <f t="shared" si="1"/>
        <v>3</v>
      </c>
    </row>
    <row r="53" spans="1:13" ht="15" customHeight="1" x14ac:dyDescent="0.2">
      <c r="A53" s="3">
        <v>45502</v>
      </c>
      <c r="B53" t="s">
        <v>100</v>
      </c>
      <c r="C53" t="s">
        <v>31</v>
      </c>
      <c r="D53" t="s">
        <v>56</v>
      </c>
      <c r="E53" s="4">
        <v>1649</v>
      </c>
      <c r="F53" s="4">
        <v>239.11</v>
      </c>
      <c r="G53" s="4">
        <v>1421.55</v>
      </c>
      <c r="H53" s="4">
        <v>14.22</v>
      </c>
      <c r="I53" s="4">
        <v>113.72</v>
      </c>
      <c r="J53" s="4">
        <v>69.5</v>
      </c>
      <c r="K53" s="4">
        <v>1212.46</v>
      </c>
      <c r="L53">
        <f t="shared" si="0"/>
        <v>2024</v>
      </c>
      <c r="M53">
        <f t="shared" si="1"/>
        <v>3</v>
      </c>
    </row>
    <row r="54" spans="1:13" ht="15" customHeight="1" x14ac:dyDescent="0.2">
      <c r="A54" s="3">
        <v>45502</v>
      </c>
      <c r="B54" t="s">
        <v>101</v>
      </c>
      <c r="C54" t="s">
        <v>102</v>
      </c>
      <c r="D54" t="s">
        <v>49</v>
      </c>
      <c r="E54" s="4">
        <v>104.5</v>
      </c>
      <c r="F54" s="4">
        <v>45.38</v>
      </c>
      <c r="G54" s="4">
        <v>90.09</v>
      </c>
      <c r="H54" s="4">
        <v>0.9</v>
      </c>
      <c r="I54" s="4">
        <v>7.21</v>
      </c>
      <c r="J54" s="4">
        <v>0</v>
      </c>
      <c r="K54" s="4">
        <v>51.01</v>
      </c>
      <c r="L54">
        <f t="shared" si="0"/>
        <v>2024</v>
      </c>
      <c r="M54">
        <f t="shared" si="1"/>
        <v>3</v>
      </c>
    </row>
    <row r="55" spans="1:13" ht="15" customHeight="1" x14ac:dyDescent="0.2">
      <c r="A55" s="3">
        <v>45504</v>
      </c>
      <c r="B55" t="s">
        <v>103</v>
      </c>
      <c r="C55" t="s">
        <v>76</v>
      </c>
      <c r="D55" t="s">
        <v>56</v>
      </c>
      <c r="E55" s="4">
        <v>1749</v>
      </c>
      <c r="F55" s="4">
        <v>253.61</v>
      </c>
      <c r="G55" s="4">
        <v>1507.76</v>
      </c>
      <c r="H55" s="4">
        <v>15.08</v>
      </c>
      <c r="I55" s="4">
        <v>120.62</v>
      </c>
      <c r="J55" s="4">
        <v>75.5</v>
      </c>
      <c r="K55" s="4">
        <v>1284.2</v>
      </c>
      <c r="L55">
        <f t="shared" si="0"/>
        <v>2024</v>
      </c>
      <c r="M55">
        <f t="shared" si="1"/>
        <v>3</v>
      </c>
    </row>
    <row r="56" spans="1:13" ht="15" customHeight="1" x14ac:dyDescent="0.2">
      <c r="A56" s="3">
        <v>45504</v>
      </c>
      <c r="B56" t="s">
        <v>104</v>
      </c>
      <c r="C56" t="s">
        <v>90</v>
      </c>
      <c r="D56" t="s">
        <v>24</v>
      </c>
      <c r="E56" s="4">
        <v>299</v>
      </c>
      <c r="F56" s="4">
        <v>43.36</v>
      </c>
      <c r="G56" s="4">
        <v>257.76</v>
      </c>
      <c r="H56" s="4">
        <v>2.58</v>
      </c>
      <c r="I56" s="4">
        <v>20.62</v>
      </c>
      <c r="J56" s="4">
        <v>75.5</v>
      </c>
      <c r="K56" s="4">
        <v>156.94999999999999</v>
      </c>
      <c r="L56">
        <f t="shared" si="0"/>
        <v>2024</v>
      </c>
      <c r="M56">
        <f t="shared" si="1"/>
        <v>3</v>
      </c>
    </row>
    <row r="57" spans="1:13" ht="15" customHeight="1" x14ac:dyDescent="0.2">
      <c r="A57" s="3">
        <v>45505</v>
      </c>
      <c r="B57" t="s">
        <v>105</v>
      </c>
      <c r="C57" t="s">
        <v>74</v>
      </c>
      <c r="D57" t="s">
        <v>35</v>
      </c>
      <c r="E57" s="4">
        <v>1576.05</v>
      </c>
      <c r="F57" s="4">
        <v>228.53</v>
      </c>
      <c r="G57" s="4">
        <v>1358.66</v>
      </c>
      <c r="H57" s="4">
        <v>13.59</v>
      </c>
      <c r="I57" s="4">
        <v>108.69</v>
      </c>
      <c r="J57" s="4">
        <v>69.5</v>
      </c>
      <c r="K57" s="4">
        <v>1021.69</v>
      </c>
      <c r="L57">
        <f t="shared" si="0"/>
        <v>2024</v>
      </c>
      <c r="M57">
        <f t="shared" si="1"/>
        <v>3</v>
      </c>
    </row>
    <row r="58" spans="1:13" ht="15" customHeight="1" x14ac:dyDescent="0.2">
      <c r="A58" s="3">
        <v>45505</v>
      </c>
      <c r="B58" t="s">
        <v>106</v>
      </c>
      <c r="C58" t="s">
        <v>76</v>
      </c>
      <c r="D58" t="s">
        <v>38</v>
      </c>
      <c r="E58" s="4">
        <v>1749</v>
      </c>
      <c r="F58" s="4">
        <v>253.61</v>
      </c>
      <c r="G58" s="4">
        <v>1507.76</v>
      </c>
      <c r="H58" s="4">
        <v>15.08</v>
      </c>
      <c r="I58" s="4">
        <v>120.62</v>
      </c>
      <c r="J58" s="4">
        <v>73</v>
      </c>
      <c r="K58" s="4">
        <v>1286.7</v>
      </c>
      <c r="L58">
        <f t="shared" si="0"/>
        <v>2024</v>
      </c>
      <c r="M58">
        <f t="shared" si="1"/>
        <v>3</v>
      </c>
    </row>
    <row r="59" spans="1:13" ht="15" customHeight="1" x14ac:dyDescent="0.2">
      <c r="A59" s="3">
        <v>45505</v>
      </c>
      <c r="B59" t="s">
        <v>107</v>
      </c>
      <c r="C59" t="s">
        <v>108</v>
      </c>
      <c r="D59" t="s">
        <v>109</v>
      </c>
      <c r="E59" s="4">
        <v>169.1</v>
      </c>
      <c r="F59" s="4">
        <v>88.98</v>
      </c>
      <c r="G59" s="4">
        <v>145.78</v>
      </c>
      <c r="H59" s="4">
        <v>1.46</v>
      </c>
      <c r="I59" s="4">
        <v>11.66</v>
      </c>
      <c r="J59" s="4">
        <v>0</v>
      </c>
      <c r="K59" s="4">
        <v>67</v>
      </c>
      <c r="L59">
        <f t="shared" si="0"/>
        <v>2024</v>
      </c>
      <c r="M59">
        <f t="shared" si="1"/>
        <v>3</v>
      </c>
    </row>
    <row r="60" spans="1:13" ht="15" customHeight="1" x14ac:dyDescent="0.2">
      <c r="A60" s="3">
        <v>45505</v>
      </c>
      <c r="B60" t="s">
        <v>107</v>
      </c>
      <c r="C60" t="s">
        <v>110</v>
      </c>
      <c r="D60" t="s">
        <v>109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>
        <f t="shared" si="0"/>
        <v>2024</v>
      </c>
      <c r="M60">
        <f t="shared" si="1"/>
        <v>3</v>
      </c>
    </row>
    <row r="61" spans="1:13" ht="15" customHeight="1" x14ac:dyDescent="0.2">
      <c r="A61" s="3">
        <v>45508</v>
      </c>
      <c r="B61" t="s">
        <v>111</v>
      </c>
      <c r="C61" t="s">
        <v>67</v>
      </c>
      <c r="D61" t="s">
        <v>33</v>
      </c>
      <c r="E61" s="4">
        <v>1749</v>
      </c>
      <c r="F61" s="4">
        <v>253.61</v>
      </c>
      <c r="G61" s="4">
        <v>1507.76</v>
      </c>
      <c r="H61" s="4">
        <v>15.08</v>
      </c>
      <c r="I61" s="4">
        <v>120.62</v>
      </c>
      <c r="J61" s="4">
        <v>73</v>
      </c>
      <c r="K61" s="4">
        <v>1286.7</v>
      </c>
      <c r="L61">
        <f t="shared" si="0"/>
        <v>2024</v>
      </c>
      <c r="M61">
        <f t="shared" si="1"/>
        <v>3</v>
      </c>
    </row>
    <row r="62" spans="1:13" ht="15" customHeight="1" x14ac:dyDescent="0.2">
      <c r="A62" s="3">
        <v>45509</v>
      </c>
      <c r="B62" t="s">
        <v>112</v>
      </c>
      <c r="C62" t="s">
        <v>92</v>
      </c>
      <c r="D62" t="s">
        <v>29</v>
      </c>
      <c r="E62" s="4">
        <v>583.04999999999995</v>
      </c>
      <c r="F62" s="4">
        <v>146.69</v>
      </c>
      <c r="G62" s="4">
        <v>502.63</v>
      </c>
      <c r="H62" s="4">
        <v>5.03</v>
      </c>
      <c r="I62" s="4">
        <v>40.21</v>
      </c>
      <c r="J62" s="4">
        <v>80</v>
      </c>
      <c r="K62" s="4">
        <v>311.12</v>
      </c>
      <c r="L62">
        <f t="shared" si="0"/>
        <v>2024</v>
      </c>
      <c r="M62">
        <f t="shared" si="1"/>
        <v>3</v>
      </c>
    </row>
    <row r="63" spans="1:13" ht="15" customHeight="1" x14ac:dyDescent="0.2">
      <c r="A63" s="3">
        <v>45509</v>
      </c>
      <c r="B63" t="s">
        <v>112</v>
      </c>
      <c r="C63" t="s">
        <v>113</v>
      </c>
      <c r="D63" t="s">
        <v>29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>
        <f t="shared" si="0"/>
        <v>2024</v>
      </c>
      <c r="M63">
        <f t="shared" si="1"/>
        <v>3</v>
      </c>
    </row>
    <row r="64" spans="1:13" ht="15" customHeight="1" x14ac:dyDescent="0.2">
      <c r="A64" s="3">
        <v>45510</v>
      </c>
      <c r="B64" t="s">
        <v>114</v>
      </c>
      <c r="C64" t="s">
        <v>115</v>
      </c>
      <c r="D64" t="s">
        <v>29</v>
      </c>
      <c r="E64" s="4">
        <v>1844.1</v>
      </c>
      <c r="F64" s="4">
        <v>267.39</v>
      </c>
      <c r="G64" s="4">
        <v>1589.74</v>
      </c>
      <c r="H64" s="4">
        <v>15.9</v>
      </c>
      <c r="I64" s="4">
        <v>127.18</v>
      </c>
      <c r="J64" s="4">
        <v>73</v>
      </c>
      <c r="K64" s="4">
        <v>1360.63</v>
      </c>
      <c r="L64">
        <f t="shared" si="0"/>
        <v>2024</v>
      </c>
      <c r="M64">
        <f t="shared" si="1"/>
        <v>3</v>
      </c>
    </row>
    <row r="65" spans="1:13" ht="15" customHeight="1" x14ac:dyDescent="0.2">
      <c r="A65" s="3">
        <v>45511</v>
      </c>
      <c r="B65" t="s">
        <v>116</v>
      </c>
      <c r="C65" t="s">
        <v>76</v>
      </c>
      <c r="D65" t="s">
        <v>59</v>
      </c>
      <c r="E65" s="4">
        <v>1749</v>
      </c>
      <c r="F65" s="4">
        <v>253.61</v>
      </c>
      <c r="G65" s="4">
        <v>1507.76</v>
      </c>
      <c r="H65" s="4">
        <v>15.08</v>
      </c>
      <c r="I65" s="4">
        <v>120.62</v>
      </c>
      <c r="J65" s="4">
        <v>73</v>
      </c>
      <c r="K65" s="4">
        <v>1286.7</v>
      </c>
      <c r="L65">
        <f t="shared" si="0"/>
        <v>2024</v>
      </c>
      <c r="M65">
        <f t="shared" si="1"/>
        <v>3</v>
      </c>
    </row>
    <row r="66" spans="1:13" ht="15" customHeight="1" x14ac:dyDescent="0.2">
      <c r="A66" s="3">
        <v>45511</v>
      </c>
      <c r="B66" t="s">
        <v>117</v>
      </c>
      <c r="C66" t="s">
        <v>67</v>
      </c>
      <c r="D66" t="s">
        <v>38</v>
      </c>
      <c r="E66" s="4">
        <v>1749</v>
      </c>
      <c r="F66" s="4">
        <v>253.61</v>
      </c>
      <c r="G66" s="4">
        <v>1507.76</v>
      </c>
      <c r="H66" s="4">
        <v>15.08</v>
      </c>
      <c r="I66" s="4">
        <v>120.62</v>
      </c>
      <c r="J66" s="4">
        <v>73</v>
      </c>
      <c r="K66" s="4">
        <v>1286.7</v>
      </c>
      <c r="L66">
        <f t="shared" ref="L66:L129" si="2">YEAR(A66)</f>
        <v>2024</v>
      </c>
      <c r="M66">
        <f t="shared" ref="M66:M129" si="3">ROUNDUP(MONTH(A66)/3,0)</f>
        <v>3</v>
      </c>
    </row>
    <row r="67" spans="1:13" ht="15" customHeight="1" x14ac:dyDescent="0.2">
      <c r="A67" s="3">
        <v>45511</v>
      </c>
      <c r="B67" t="s">
        <v>118</v>
      </c>
      <c r="C67" t="s">
        <v>31</v>
      </c>
      <c r="D67" t="s">
        <v>119</v>
      </c>
      <c r="E67" s="4">
        <v>1700.1</v>
      </c>
      <c r="F67" s="4">
        <v>246.51</v>
      </c>
      <c r="G67" s="4">
        <v>1465.6</v>
      </c>
      <c r="H67" s="4">
        <v>14.66</v>
      </c>
      <c r="I67" s="4">
        <v>117.25</v>
      </c>
      <c r="J67" s="4">
        <v>73</v>
      </c>
      <c r="K67" s="4">
        <v>1248.68</v>
      </c>
      <c r="L67">
        <f t="shared" si="2"/>
        <v>2024</v>
      </c>
      <c r="M67">
        <f t="shared" si="3"/>
        <v>3</v>
      </c>
    </row>
    <row r="68" spans="1:13" ht="15" customHeight="1" x14ac:dyDescent="0.2">
      <c r="A68" s="3">
        <v>45511</v>
      </c>
      <c r="B68" t="s">
        <v>120</v>
      </c>
      <c r="C68" t="s">
        <v>76</v>
      </c>
      <c r="D68" t="s">
        <v>59</v>
      </c>
      <c r="E68" s="4">
        <v>1749</v>
      </c>
      <c r="F68" s="4">
        <v>253.61</v>
      </c>
      <c r="G68" s="4">
        <v>1507.76</v>
      </c>
      <c r="H68" s="4">
        <v>15.08</v>
      </c>
      <c r="I68" s="4">
        <v>120.62</v>
      </c>
      <c r="J68" s="4">
        <v>79.5</v>
      </c>
      <c r="K68" s="4">
        <v>1280.2</v>
      </c>
      <c r="L68">
        <f t="shared" si="2"/>
        <v>2024</v>
      </c>
      <c r="M68">
        <f t="shared" si="3"/>
        <v>3</v>
      </c>
    </row>
    <row r="69" spans="1:13" ht="15" customHeight="1" x14ac:dyDescent="0.2">
      <c r="A69" s="3">
        <v>45511</v>
      </c>
      <c r="B69" t="s">
        <v>121</v>
      </c>
      <c r="C69" t="s">
        <v>74</v>
      </c>
      <c r="D69" t="s">
        <v>109</v>
      </c>
      <c r="E69" s="4">
        <v>1576.05</v>
      </c>
      <c r="F69" s="4">
        <v>228.53</v>
      </c>
      <c r="G69" s="4">
        <v>1358.66</v>
      </c>
      <c r="H69" s="4">
        <v>13.59</v>
      </c>
      <c r="I69" s="4">
        <v>108.69</v>
      </c>
      <c r="J69" s="4">
        <v>73</v>
      </c>
      <c r="K69" s="4">
        <v>1152.24</v>
      </c>
      <c r="L69">
        <f t="shared" si="2"/>
        <v>2024</v>
      </c>
      <c r="M69">
        <f t="shared" si="3"/>
        <v>3</v>
      </c>
    </row>
    <row r="70" spans="1:13" ht="15" customHeight="1" x14ac:dyDescent="0.2">
      <c r="A70" s="3">
        <v>45512</v>
      </c>
      <c r="B70" t="s">
        <v>122</v>
      </c>
      <c r="C70" t="s">
        <v>92</v>
      </c>
      <c r="D70" t="s">
        <v>27</v>
      </c>
      <c r="E70" s="4">
        <v>299</v>
      </c>
      <c r="F70" s="4">
        <v>58.31</v>
      </c>
      <c r="G70" s="4">
        <v>257.76</v>
      </c>
      <c r="H70" s="4">
        <v>2.58</v>
      </c>
      <c r="I70" s="4">
        <v>20.62</v>
      </c>
      <c r="J70" s="4">
        <v>76</v>
      </c>
      <c r="K70" s="4">
        <v>141.5</v>
      </c>
      <c r="L70">
        <f t="shared" si="2"/>
        <v>2024</v>
      </c>
      <c r="M70">
        <f t="shared" si="3"/>
        <v>3</v>
      </c>
    </row>
    <row r="71" spans="1:13" ht="15" customHeight="1" x14ac:dyDescent="0.2">
      <c r="A71" s="3">
        <v>45512</v>
      </c>
      <c r="B71" t="s">
        <v>122</v>
      </c>
      <c r="C71" t="s">
        <v>123</v>
      </c>
      <c r="D71" t="s">
        <v>27</v>
      </c>
      <c r="E71" s="4">
        <v>299</v>
      </c>
      <c r="F71" s="4">
        <v>58.31</v>
      </c>
      <c r="G71" s="4">
        <v>257.76</v>
      </c>
      <c r="H71" s="4">
        <v>2.58</v>
      </c>
      <c r="I71" s="4">
        <v>20.62</v>
      </c>
      <c r="J71" s="4">
        <v>76</v>
      </c>
      <c r="K71" s="4">
        <v>141.5</v>
      </c>
      <c r="L71">
        <f t="shared" si="2"/>
        <v>2024</v>
      </c>
      <c r="M71">
        <f t="shared" si="3"/>
        <v>3</v>
      </c>
    </row>
    <row r="72" spans="1:13" ht="15" customHeight="1" x14ac:dyDescent="0.2">
      <c r="A72" s="3">
        <v>45512</v>
      </c>
      <c r="B72" t="s">
        <v>124</v>
      </c>
      <c r="C72" t="s">
        <v>99</v>
      </c>
      <c r="D72" t="s">
        <v>38</v>
      </c>
      <c r="E72" s="4">
        <v>100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100</v>
      </c>
      <c r="L72">
        <f t="shared" si="2"/>
        <v>2024</v>
      </c>
      <c r="M72">
        <f t="shared" si="3"/>
        <v>3</v>
      </c>
    </row>
    <row r="73" spans="1:13" ht="15" customHeight="1" x14ac:dyDescent="0.2">
      <c r="A73" s="3">
        <v>45512</v>
      </c>
      <c r="B73" t="s">
        <v>100</v>
      </c>
      <c r="C73" t="s">
        <v>31</v>
      </c>
      <c r="D73" t="s">
        <v>56</v>
      </c>
      <c r="E73" s="4">
        <v>1700.1</v>
      </c>
      <c r="F73" s="4">
        <v>246.51</v>
      </c>
      <c r="G73" s="4">
        <v>1465.6</v>
      </c>
      <c r="H73" s="4">
        <v>14.66</v>
      </c>
      <c r="I73" s="4">
        <v>117.25</v>
      </c>
      <c r="J73" s="4">
        <v>73</v>
      </c>
      <c r="K73" s="4">
        <v>1248.68</v>
      </c>
      <c r="L73">
        <f t="shared" si="2"/>
        <v>2024</v>
      </c>
      <c r="M73">
        <f t="shared" si="3"/>
        <v>3</v>
      </c>
    </row>
    <row r="74" spans="1:13" ht="15" customHeight="1" x14ac:dyDescent="0.2">
      <c r="A74" s="3">
        <v>45513</v>
      </c>
      <c r="B74" t="s">
        <v>125</v>
      </c>
      <c r="C74" t="s">
        <v>115</v>
      </c>
      <c r="D74" t="s">
        <v>126</v>
      </c>
      <c r="E74" s="4">
        <v>1844.1</v>
      </c>
      <c r="F74" s="4">
        <v>267.39</v>
      </c>
      <c r="G74" s="4">
        <v>1589.74</v>
      </c>
      <c r="H74" s="4">
        <v>15.9</v>
      </c>
      <c r="I74" s="4">
        <v>127.18</v>
      </c>
      <c r="J74" s="4">
        <v>73</v>
      </c>
      <c r="K74" s="4">
        <v>1360.63</v>
      </c>
      <c r="L74">
        <f t="shared" si="2"/>
        <v>2024</v>
      </c>
      <c r="M74">
        <f t="shared" si="3"/>
        <v>3</v>
      </c>
    </row>
    <row r="75" spans="1:13" ht="15" customHeight="1" x14ac:dyDescent="0.2">
      <c r="A75" s="3">
        <v>45513</v>
      </c>
      <c r="B75" t="s">
        <v>127</v>
      </c>
      <c r="C75" t="s">
        <v>31</v>
      </c>
      <c r="D75" t="s">
        <v>38</v>
      </c>
      <c r="E75" s="4">
        <v>1700.1</v>
      </c>
      <c r="F75" s="4">
        <v>246.51</v>
      </c>
      <c r="G75" s="4">
        <v>1465.6</v>
      </c>
      <c r="H75" s="4">
        <v>14.66</v>
      </c>
      <c r="I75" s="4">
        <v>117.25</v>
      </c>
      <c r="J75" s="4">
        <v>73</v>
      </c>
      <c r="K75" s="4">
        <v>1248.68</v>
      </c>
      <c r="L75">
        <f t="shared" si="2"/>
        <v>2024</v>
      </c>
      <c r="M75">
        <f t="shared" si="3"/>
        <v>3</v>
      </c>
    </row>
    <row r="76" spans="1:13" ht="15" customHeight="1" x14ac:dyDescent="0.2">
      <c r="A76" s="3">
        <v>45514</v>
      </c>
      <c r="B76" t="s">
        <v>128</v>
      </c>
      <c r="C76" t="s">
        <v>113</v>
      </c>
      <c r="D76" t="s">
        <v>129</v>
      </c>
      <c r="E76" s="4">
        <v>299</v>
      </c>
      <c r="F76" s="4">
        <v>58.31</v>
      </c>
      <c r="G76" s="4">
        <v>257.76</v>
      </c>
      <c r="H76" s="4">
        <v>2.58</v>
      </c>
      <c r="I76" s="4">
        <v>20.62</v>
      </c>
      <c r="J76" s="4">
        <v>76</v>
      </c>
      <c r="K76" s="4">
        <v>141.5</v>
      </c>
      <c r="L76">
        <f t="shared" si="2"/>
        <v>2024</v>
      </c>
      <c r="M76">
        <f t="shared" si="3"/>
        <v>3</v>
      </c>
    </row>
    <row r="77" spans="1:13" ht="15" customHeight="1" x14ac:dyDescent="0.2">
      <c r="A77" s="3">
        <v>45515</v>
      </c>
      <c r="B77" t="s">
        <v>130</v>
      </c>
      <c r="C77" t="s">
        <v>131</v>
      </c>
      <c r="D77" t="s">
        <v>56</v>
      </c>
      <c r="E77" s="4">
        <v>2159.1</v>
      </c>
      <c r="F77" s="4">
        <v>313.07</v>
      </c>
      <c r="G77" s="4">
        <v>1861.29</v>
      </c>
      <c r="H77" s="4">
        <v>18.61</v>
      </c>
      <c r="I77" s="4">
        <v>148.9</v>
      </c>
      <c r="J77" s="4">
        <v>95</v>
      </c>
      <c r="K77" s="4">
        <v>1583.51</v>
      </c>
      <c r="L77">
        <f t="shared" si="2"/>
        <v>2024</v>
      </c>
      <c r="M77">
        <f t="shared" si="3"/>
        <v>3</v>
      </c>
    </row>
    <row r="78" spans="1:13" ht="15" customHeight="1" x14ac:dyDescent="0.2">
      <c r="A78" s="3">
        <v>45516</v>
      </c>
      <c r="B78" t="s">
        <v>132</v>
      </c>
      <c r="C78" t="s">
        <v>133</v>
      </c>
      <c r="D78" t="s">
        <v>33</v>
      </c>
      <c r="E78" s="4">
        <v>979.3</v>
      </c>
      <c r="F78" s="4">
        <v>142</v>
      </c>
      <c r="G78" s="4">
        <v>844.22</v>
      </c>
      <c r="H78" s="4">
        <v>8.44</v>
      </c>
      <c r="I78" s="4">
        <v>67.540000000000006</v>
      </c>
      <c r="J78" s="4">
        <v>79.5</v>
      </c>
      <c r="K78" s="4">
        <v>681.82</v>
      </c>
      <c r="L78">
        <f t="shared" si="2"/>
        <v>2024</v>
      </c>
      <c r="M78">
        <f t="shared" si="3"/>
        <v>3</v>
      </c>
    </row>
    <row r="79" spans="1:13" ht="15" customHeight="1" x14ac:dyDescent="0.2">
      <c r="A79" s="3">
        <v>45524</v>
      </c>
      <c r="B79" t="s">
        <v>134</v>
      </c>
      <c r="C79" t="s">
        <v>31</v>
      </c>
      <c r="D79" t="s">
        <v>119</v>
      </c>
      <c r="E79" s="4">
        <v>1700.1</v>
      </c>
      <c r="F79" s="4">
        <v>246.51</v>
      </c>
      <c r="G79" s="4">
        <v>1465.6</v>
      </c>
      <c r="H79" s="4">
        <v>14.66</v>
      </c>
      <c r="I79" s="4">
        <v>117.25</v>
      </c>
      <c r="J79" s="4">
        <v>73</v>
      </c>
      <c r="K79" s="4">
        <v>1248.68</v>
      </c>
      <c r="L79">
        <f t="shared" si="2"/>
        <v>2024</v>
      </c>
      <c r="M79">
        <f t="shared" si="3"/>
        <v>3</v>
      </c>
    </row>
    <row r="80" spans="1:13" ht="15" customHeight="1" x14ac:dyDescent="0.2">
      <c r="A80" s="3">
        <v>45525</v>
      </c>
      <c r="B80" t="s">
        <v>135</v>
      </c>
      <c r="C80" t="s">
        <v>31</v>
      </c>
      <c r="D80" t="s">
        <v>21</v>
      </c>
      <c r="E80" s="4">
        <v>1700.1</v>
      </c>
      <c r="F80" s="4">
        <v>246.51</v>
      </c>
      <c r="G80" s="4">
        <v>1465.6</v>
      </c>
      <c r="H80" s="4">
        <v>14.66</v>
      </c>
      <c r="I80" s="4">
        <v>117.25</v>
      </c>
      <c r="J80" s="4">
        <v>73</v>
      </c>
      <c r="K80" s="4">
        <v>1248.68</v>
      </c>
      <c r="L80">
        <f t="shared" si="2"/>
        <v>2024</v>
      </c>
      <c r="M80">
        <f t="shared" si="3"/>
        <v>3</v>
      </c>
    </row>
    <row r="81" spans="1:13" ht="15" customHeight="1" x14ac:dyDescent="0.2">
      <c r="A81" s="3">
        <v>45526</v>
      </c>
      <c r="B81" t="s">
        <v>136</v>
      </c>
      <c r="C81" t="s">
        <v>31</v>
      </c>
      <c r="D81" t="s">
        <v>119</v>
      </c>
      <c r="E81" s="4">
        <v>1700.1</v>
      </c>
      <c r="F81" s="4">
        <v>246.51</v>
      </c>
      <c r="G81" s="4">
        <v>1465.6</v>
      </c>
      <c r="H81" s="4">
        <v>14.66</v>
      </c>
      <c r="I81" s="4">
        <v>117.25</v>
      </c>
      <c r="J81" s="4">
        <v>73</v>
      </c>
      <c r="K81" s="4">
        <v>1248.68</v>
      </c>
      <c r="L81">
        <f t="shared" si="2"/>
        <v>2024</v>
      </c>
      <c r="M81">
        <f t="shared" si="3"/>
        <v>3</v>
      </c>
    </row>
    <row r="82" spans="1:13" ht="15" customHeight="1" x14ac:dyDescent="0.2">
      <c r="A82" s="3">
        <v>45528</v>
      </c>
      <c r="B82" t="s">
        <v>137</v>
      </c>
      <c r="C82" t="s">
        <v>67</v>
      </c>
      <c r="D82" t="s">
        <v>29</v>
      </c>
      <c r="E82" s="4">
        <v>1799</v>
      </c>
      <c r="F82" s="4">
        <v>260.86</v>
      </c>
      <c r="G82" s="4">
        <v>1550.86</v>
      </c>
      <c r="H82" s="4">
        <v>15.51</v>
      </c>
      <c r="I82" s="4">
        <v>124.07</v>
      </c>
      <c r="J82" s="4">
        <v>73</v>
      </c>
      <c r="K82" s="4">
        <v>1325.57</v>
      </c>
      <c r="L82">
        <f t="shared" si="2"/>
        <v>2024</v>
      </c>
      <c r="M82">
        <f t="shared" si="3"/>
        <v>3</v>
      </c>
    </row>
    <row r="83" spans="1:13" ht="15" customHeight="1" x14ac:dyDescent="0.2">
      <c r="A83" s="3">
        <v>45529</v>
      </c>
      <c r="B83" t="s">
        <v>138</v>
      </c>
      <c r="C83" t="s">
        <v>31</v>
      </c>
      <c r="D83" t="s">
        <v>24</v>
      </c>
      <c r="E83" s="4">
        <v>1700.1</v>
      </c>
      <c r="F83" s="4">
        <v>246.51</v>
      </c>
      <c r="G83" s="4">
        <v>1465.6</v>
      </c>
      <c r="H83" s="4">
        <v>14.66</v>
      </c>
      <c r="I83" s="4">
        <v>117.25</v>
      </c>
      <c r="J83" s="4">
        <v>73</v>
      </c>
      <c r="K83" s="4">
        <v>1248.68</v>
      </c>
      <c r="L83">
        <f t="shared" si="2"/>
        <v>2024</v>
      </c>
      <c r="M83">
        <f t="shared" si="3"/>
        <v>3</v>
      </c>
    </row>
    <row r="84" spans="1:13" ht="15" customHeight="1" x14ac:dyDescent="0.2">
      <c r="A84" s="3">
        <v>45529</v>
      </c>
      <c r="B84" t="s">
        <v>139</v>
      </c>
      <c r="C84" t="s">
        <v>67</v>
      </c>
      <c r="D84" t="s">
        <v>140</v>
      </c>
      <c r="E84" s="4">
        <v>1799</v>
      </c>
      <c r="F84" s="4">
        <v>260.86</v>
      </c>
      <c r="G84" s="4">
        <v>1550.86</v>
      </c>
      <c r="H84" s="4">
        <v>15.51</v>
      </c>
      <c r="I84" s="4">
        <v>124.07</v>
      </c>
      <c r="J84" s="4">
        <v>73</v>
      </c>
      <c r="K84" s="4">
        <v>1325.57</v>
      </c>
      <c r="L84">
        <f t="shared" si="2"/>
        <v>2024</v>
      </c>
      <c r="M84">
        <f t="shared" si="3"/>
        <v>3</v>
      </c>
    </row>
    <row r="85" spans="1:13" ht="15" customHeight="1" x14ac:dyDescent="0.2">
      <c r="A85" s="3">
        <v>45529</v>
      </c>
      <c r="B85" t="s">
        <v>141</v>
      </c>
      <c r="C85" t="s">
        <v>76</v>
      </c>
      <c r="D85" t="s">
        <v>38</v>
      </c>
      <c r="E85" s="4">
        <v>1785</v>
      </c>
      <c r="F85" s="4">
        <v>258.83</v>
      </c>
      <c r="G85" s="4">
        <v>1538.79</v>
      </c>
      <c r="H85" s="4">
        <v>15.39</v>
      </c>
      <c r="I85" s="4">
        <v>123.1</v>
      </c>
      <c r="J85" s="4">
        <v>73</v>
      </c>
      <c r="K85" s="4">
        <v>1314.68</v>
      </c>
      <c r="L85">
        <f t="shared" si="2"/>
        <v>2024</v>
      </c>
      <c r="M85">
        <f t="shared" si="3"/>
        <v>3</v>
      </c>
    </row>
    <row r="86" spans="1:13" ht="15" customHeight="1" x14ac:dyDescent="0.2">
      <c r="A86" s="3">
        <v>45532</v>
      </c>
      <c r="B86" t="s">
        <v>142</v>
      </c>
      <c r="C86" t="s">
        <v>67</v>
      </c>
      <c r="D86" t="s">
        <v>143</v>
      </c>
      <c r="E86" s="4">
        <v>1799</v>
      </c>
      <c r="F86" s="4">
        <v>260.86</v>
      </c>
      <c r="G86" s="4">
        <v>1550.86</v>
      </c>
      <c r="H86" s="4">
        <v>15.51</v>
      </c>
      <c r="I86" s="4">
        <v>124.07</v>
      </c>
      <c r="J86" s="4">
        <v>73</v>
      </c>
      <c r="K86" s="4">
        <v>1325.57</v>
      </c>
      <c r="L86">
        <f t="shared" si="2"/>
        <v>2024</v>
      </c>
      <c r="M86">
        <f t="shared" si="3"/>
        <v>3</v>
      </c>
    </row>
    <row r="87" spans="1:13" ht="15" customHeight="1" x14ac:dyDescent="0.2">
      <c r="A87" s="3">
        <v>45532</v>
      </c>
      <c r="B87" t="s">
        <v>144</v>
      </c>
      <c r="C87" t="s">
        <v>115</v>
      </c>
      <c r="D87" t="s">
        <v>93</v>
      </c>
      <c r="E87" s="4">
        <v>1844.1</v>
      </c>
      <c r="F87" s="4">
        <v>267.39</v>
      </c>
      <c r="G87" s="4">
        <v>1589.74</v>
      </c>
      <c r="H87" s="4">
        <v>15.9</v>
      </c>
      <c r="I87" s="4">
        <v>127.18</v>
      </c>
      <c r="J87" s="4">
        <v>73</v>
      </c>
      <c r="K87" s="4">
        <v>1360.63</v>
      </c>
      <c r="L87">
        <f t="shared" si="2"/>
        <v>2024</v>
      </c>
      <c r="M87">
        <f t="shared" si="3"/>
        <v>3</v>
      </c>
    </row>
    <row r="88" spans="1:13" ht="15" customHeight="1" x14ac:dyDescent="0.2">
      <c r="A88" s="3">
        <v>45532</v>
      </c>
      <c r="B88" t="s">
        <v>145</v>
      </c>
      <c r="C88" t="s">
        <v>90</v>
      </c>
      <c r="D88" t="s">
        <v>53</v>
      </c>
      <c r="E88" s="4">
        <v>305.10000000000002</v>
      </c>
      <c r="F88" s="4">
        <v>44.24</v>
      </c>
      <c r="G88" s="4">
        <v>263.02</v>
      </c>
      <c r="H88" s="4">
        <v>2.63</v>
      </c>
      <c r="I88" s="4">
        <v>21.04</v>
      </c>
      <c r="J88" s="4">
        <v>63.6</v>
      </c>
      <c r="K88" s="4">
        <v>173.59</v>
      </c>
      <c r="L88">
        <f t="shared" si="2"/>
        <v>2024</v>
      </c>
      <c r="M88">
        <f t="shared" si="3"/>
        <v>3</v>
      </c>
    </row>
    <row r="89" spans="1:13" ht="15" customHeight="1" x14ac:dyDescent="0.2">
      <c r="A89" s="3">
        <v>45532</v>
      </c>
      <c r="B89" t="s">
        <v>146</v>
      </c>
      <c r="C89" t="s">
        <v>23</v>
      </c>
      <c r="D89" t="s">
        <v>77</v>
      </c>
      <c r="E89" s="4">
        <v>1006.73</v>
      </c>
      <c r="F89" s="4">
        <v>145.97999999999999</v>
      </c>
      <c r="G89" s="4">
        <v>867.87</v>
      </c>
      <c r="H89" s="4">
        <v>8.68</v>
      </c>
      <c r="I89" s="4">
        <v>69.430000000000007</v>
      </c>
      <c r="J89" s="4">
        <v>95</v>
      </c>
      <c r="K89" s="4">
        <v>687.65</v>
      </c>
      <c r="L89">
        <f t="shared" si="2"/>
        <v>2024</v>
      </c>
      <c r="M89">
        <f t="shared" si="3"/>
        <v>3</v>
      </c>
    </row>
    <row r="90" spans="1:13" ht="15" customHeight="1" x14ac:dyDescent="0.2">
      <c r="A90" s="3">
        <v>45532</v>
      </c>
      <c r="B90" t="s">
        <v>147</v>
      </c>
      <c r="C90" t="s">
        <v>23</v>
      </c>
      <c r="D90" t="s">
        <v>85</v>
      </c>
      <c r="E90" s="4">
        <v>999</v>
      </c>
      <c r="F90" s="4">
        <v>144.86000000000001</v>
      </c>
      <c r="G90" s="4">
        <v>861.21</v>
      </c>
      <c r="H90" s="4">
        <v>8.61</v>
      </c>
      <c r="I90" s="4">
        <v>68.900000000000006</v>
      </c>
      <c r="J90" s="4">
        <v>95</v>
      </c>
      <c r="K90" s="4">
        <v>681.64</v>
      </c>
      <c r="L90">
        <f t="shared" si="2"/>
        <v>2024</v>
      </c>
      <c r="M90">
        <f t="shared" si="3"/>
        <v>3</v>
      </c>
    </row>
    <row r="91" spans="1:13" ht="15" customHeight="1" x14ac:dyDescent="0.2">
      <c r="A91" s="3">
        <v>45533</v>
      </c>
      <c r="B91" t="s">
        <v>148</v>
      </c>
      <c r="C91" t="s">
        <v>31</v>
      </c>
      <c r="D91" t="s">
        <v>56</v>
      </c>
      <c r="E91" s="4">
        <v>1649</v>
      </c>
      <c r="F91" s="4">
        <v>239.11</v>
      </c>
      <c r="G91" s="4">
        <v>1421.55</v>
      </c>
      <c r="H91" s="4">
        <v>14.22</v>
      </c>
      <c r="I91" s="4">
        <v>113.72</v>
      </c>
      <c r="J91" s="4">
        <v>73</v>
      </c>
      <c r="K91" s="4">
        <v>1208.96</v>
      </c>
      <c r="L91">
        <f t="shared" si="2"/>
        <v>2024</v>
      </c>
      <c r="M91">
        <f t="shared" si="3"/>
        <v>3</v>
      </c>
    </row>
    <row r="92" spans="1:13" ht="15" customHeight="1" x14ac:dyDescent="0.2">
      <c r="A92" s="3">
        <v>45533</v>
      </c>
      <c r="B92" t="s">
        <v>149</v>
      </c>
      <c r="C92" t="s">
        <v>115</v>
      </c>
      <c r="D92" t="s">
        <v>49</v>
      </c>
      <c r="E92" s="4">
        <v>1844.1</v>
      </c>
      <c r="F92" s="4">
        <v>267.39</v>
      </c>
      <c r="G92" s="4">
        <v>1589.74</v>
      </c>
      <c r="H92" s="4">
        <v>15.9</v>
      </c>
      <c r="I92" s="4">
        <v>127.18</v>
      </c>
      <c r="J92" s="4">
        <v>73</v>
      </c>
      <c r="K92" s="4">
        <v>1360.63</v>
      </c>
      <c r="L92">
        <f t="shared" si="2"/>
        <v>2024</v>
      </c>
      <c r="M92">
        <f t="shared" si="3"/>
        <v>3</v>
      </c>
    </row>
    <row r="93" spans="1:13" ht="15" customHeight="1" x14ac:dyDescent="0.2">
      <c r="A93" s="3">
        <v>45534</v>
      </c>
      <c r="B93" t="s">
        <v>150</v>
      </c>
      <c r="C93" t="s">
        <v>31</v>
      </c>
      <c r="D93" t="s">
        <v>38</v>
      </c>
      <c r="E93" s="4">
        <v>1699</v>
      </c>
      <c r="F93" s="4">
        <v>246.36</v>
      </c>
      <c r="G93" s="4">
        <v>1464.66</v>
      </c>
      <c r="H93" s="4">
        <v>14.65</v>
      </c>
      <c r="I93" s="4">
        <v>117.17</v>
      </c>
      <c r="J93" s="4">
        <v>73</v>
      </c>
      <c r="K93" s="4">
        <v>1247.83</v>
      </c>
      <c r="L93">
        <f t="shared" si="2"/>
        <v>2024</v>
      </c>
      <c r="M93">
        <f t="shared" si="3"/>
        <v>3</v>
      </c>
    </row>
    <row r="94" spans="1:13" ht="15" customHeight="1" x14ac:dyDescent="0.2">
      <c r="A94" s="3">
        <v>45534</v>
      </c>
      <c r="B94" t="s">
        <v>151</v>
      </c>
      <c r="C94" t="s">
        <v>67</v>
      </c>
      <c r="D94" t="s">
        <v>56</v>
      </c>
      <c r="E94" s="4">
        <v>1799.1</v>
      </c>
      <c r="F94" s="4">
        <v>260.87</v>
      </c>
      <c r="G94" s="4">
        <v>1550.95</v>
      </c>
      <c r="H94" s="4">
        <v>15.51</v>
      </c>
      <c r="I94" s="4">
        <v>124.08</v>
      </c>
      <c r="J94" s="4">
        <v>73</v>
      </c>
      <c r="K94" s="4">
        <v>1325.65</v>
      </c>
      <c r="L94">
        <f t="shared" si="2"/>
        <v>2024</v>
      </c>
      <c r="M94">
        <f t="shared" si="3"/>
        <v>3</v>
      </c>
    </row>
    <row r="95" spans="1:13" ht="15" customHeight="1" x14ac:dyDescent="0.2">
      <c r="A95" s="3">
        <v>45535</v>
      </c>
      <c r="B95" t="s">
        <v>152</v>
      </c>
      <c r="C95" t="s">
        <v>153</v>
      </c>
      <c r="D95" t="s">
        <v>38</v>
      </c>
      <c r="E95" s="4">
        <v>164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164</v>
      </c>
      <c r="L95">
        <f t="shared" si="2"/>
        <v>2024</v>
      </c>
      <c r="M95">
        <f t="shared" si="3"/>
        <v>3</v>
      </c>
    </row>
    <row r="96" spans="1:13" ht="15" customHeight="1" x14ac:dyDescent="0.2">
      <c r="A96" s="3">
        <v>45535</v>
      </c>
      <c r="B96" t="s">
        <v>152</v>
      </c>
      <c r="C96" t="s">
        <v>154</v>
      </c>
      <c r="D96" t="s">
        <v>38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>
        <f t="shared" si="2"/>
        <v>2024</v>
      </c>
      <c r="M96">
        <f t="shared" si="3"/>
        <v>3</v>
      </c>
    </row>
    <row r="97" spans="1:13" ht="15" customHeight="1" x14ac:dyDescent="0.2">
      <c r="A97" s="3">
        <v>45535</v>
      </c>
      <c r="B97" t="s">
        <v>152</v>
      </c>
      <c r="C97" t="s">
        <v>155</v>
      </c>
      <c r="D97" t="s">
        <v>38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>
        <f t="shared" si="2"/>
        <v>2024</v>
      </c>
      <c r="M97">
        <f t="shared" si="3"/>
        <v>3</v>
      </c>
    </row>
    <row r="98" spans="1:13" ht="15" customHeight="1" x14ac:dyDescent="0.2">
      <c r="A98" s="3">
        <v>45535</v>
      </c>
      <c r="B98" t="s">
        <v>152</v>
      </c>
      <c r="C98" t="s">
        <v>156</v>
      </c>
      <c r="D98" t="s">
        <v>38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>
        <f t="shared" si="2"/>
        <v>2024</v>
      </c>
      <c r="M98">
        <f t="shared" si="3"/>
        <v>3</v>
      </c>
    </row>
    <row r="99" spans="1:13" ht="15" customHeight="1" x14ac:dyDescent="0.2">
      <c r="A99" s="3">
        <v>45535</v>
      </c>
      <c r="B99" t="s">
        <v>152</v>
      </c>
      <c r="C99" t="s">
        <v>102</v>
      </c>
      <c r="D99" t="s">
        <v>38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>
        <f t="shared" si="2"/>
        <v>2024</v>
      </c>
      <c r="M99">
        <f t="shared" si="3"/>
        <v>3</v>
      </c>
    </row>
    <row r="100" spans="1:13" ht="15" customHeight="1" x14ac:dyDescent="0.2">
      <c r="A100" s="3">
        <v>45535</v>
      </c>
      <c r="B100" t="s">
        <v>152</v>
      </c>
      <c r="C100" t="s">
        <v>157</v>
      </c>
      <c r="D100" t="s">
        <v>38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>
        <f t="shared" si="2"/>
        <v>2024</v>
      </c>
      <c r="M100">
        <f t="shared" si="3"/>
        <v>3</v>
      </c>
    </row>
    <row r="101" spans="1:13" ht="15" customHeight="1" x14ac:dyDescent="0.2">
      <c r="A101" s="3">
        <v>45535</v>
      </c>
      <c r="B101" t="s">
        <v>158</v>
      </c>
      <c r="C101" t="s">
        <v>90</v>
      </c>
      <c r="D101" t="s">
        <v>93</v>
      </c>
      <c r="E101" s="4">
        <v>305.10000000000002</v>
      </c>
      <c r="F101" s="4">
        <v>44.24</v>
      </c>
      <c r="G101" s="4">
        <v>263.02</v>
      </c>
      <c r="H101" s="4">
        <v>2.63</v>
      </c>
      <c r="I101" s="4">
        <v>21.04</v>
      </c>
      <c r="J101" s="4">
        <v>63.6</v>
      </c>
      <c r="K101" s="4">
        <v>173.59</v>
      </c>
      <c r="L101">
        <f t="shared" si="2"/>
        <v>2024</v>
      </c>
      <c r="M101">
        <f t="shared" si="3"/>
        <v>3</v>
      </c>
    </row>
    <row r="102" spans="1:13" ht="15" customHeight="1" x14ac:dyDescent="0.2">
      <c r="A102" s="3">
        <v>45505</v>
      </c>
      <c r="B102" t="s">
        <v>159</v>
      </c>
      <c r="C102" t="s">
        <v>44</v>
      </c>
      <c r="D102" t="s">
        <v>38</v>
      </c>
      <c r="E102" s="4">
        <v>180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180</v>
      </c>
      <c r="L102">
        <f t="shared" si="2"/>
        <v>2024</v>
      </c>
      <c r="M102">
        <f t="shared" si="3"/>
        <v>3</v>
      </c>
    </row>
    <row r="103" spans="1:13" ht="15" customHeight="1" x14ac:dyDescent="0.2">
      <c r="A103" s="3">
        <v>45505</v>
      </c>
      <c r="B103" t="s">
        <v>159</v>
      </c>
      <c r="C103" t="s">
        <v>99</v>
      </c>
      <c r="D103" t="s">
        <v>38</v>
      </c>
      <c r="E103" s="4">
        <v>200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200</v>
      </c>
      <c r="L103">
        <f t="shared" si="2"/>
        <v>2024</v>
      </c>
      <c r="M103">
        <f t="shared" si="3"/>
        <v>3</v>
      </c>
    </row>
    <row r="104" spans="1:13" ht="15" customHeight="1" x14ac:dyDescent="0.2">
      <c r="A104" s="3">
        <v>45505</v>
      </c>
      <c r="B104" t="s">
        <v>159</v>
      </c>
      <c r="C104" t="s">
        <v>99</v>
      </c>
      <c r="D104" t="s">
        <v>38</v>
      </c>
      <c r="E104" s="4">
        <v>200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200</v>
      </c>
      <c r="L104">
        <f t="shared" si="2"/>
        <v>2024</v>
      </c>
      <c r="M104">
        <f t="shared" si="3"/>
        <v>3</v>
      </c>
    </row>
    <row r="105" spans="1:13" ht="15" customHeight="1" x14ac:dyDescent="0.2">
      <c r="A105" s="3">
        <v>45505</v>
      </c>
      <c r="B105" t="s">
        <v>159</v>
      </c>
      <c r="C105" t="s">
        <v>99</v>
      </c>
      <c r="D105" t="s">
        <v>38</v>
      </c>
      <c r="E105" s="4">
        <v>200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200</v>
      </c>
      <c r="L105">
        <f t="shared" si="2"/>
        <v>2024</v>
      </c>
      <c r="M105">
        <f t="shared" si="3"/>
        <v>3</v>
      </c>
    </row>
    <row r="106" spans="1:13" ht="15" customHeight="1" x14ac:dyDescent="0.2">
      <c r="A106" s="3">
        <v>45505</v>
      </c>
      <c r="B106" t="s">
        <v>159</v>
      </c>
      <c r="C106" t="s">
        <v>99</v>
      </c>
      <c r="D106" t="s">
        <v>38</v>
      </c>
      <c r="E106" s="4">
        <v>200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200</v>
      </c>
      <c r="L106">
        <f t="shared" si="2"/>
        <v>2024</v>
      </c>
      <c r="M106">
        <f t="shared" si="3"/>
        <v>3</v>
      </c>
    </row>
    <row r="107" spans="1:13" ht="15" customHeight="1" x14ac:dyDescent="0.2">
      <c r="A107" s="3">
        <v>45505</v>
      </c>
      <c r="B107" t="s">
        <v>159</v>
      </c>
      <c r="C107" t="s">
        <v>160</v>
      </c>
      <c r="D107" t="s">
        <v>38</v>
      </c>
      <c r="E107" s="4">
        <v>200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200</v>
      </c>
      <c r="L107">
        <f t="shared" si="2"/>
        <v>2024</v>
      </c>
      <c r="M107">
        <f t="shared" si="3"/>
        <v>3</v>
      </c>
    </row>
    <row r="108" spans="1:13" ht="15" customHeight="1" x14ac:dyDescent="0.2">
      <c r="A108" s="3">
        <v>45505</v>
      </c>
      <c r="B108" t="s">
        <v>159</v>
      </c>
      <c r="C108" t="s">
        <v>160</v>
      </c>
      <c r="D108" t="s">
        <v>38</v>
      </c>
      <c r="E108" s="4">
        <v>200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200</v>
      </c>
      <c r="L108">
        <f t="shared" si="2"/>
        <v>2024</v>
      </c>
      <c r="M108">
        <f t="shared" si="3"/>
        <v>3</v>
      </c>
    </row>
    <row r="109" spans="1:13" ht="15" customHeight="1" x14ac:dyDescent="0.2">
      <c r="A109" s="3">
        <v>45505</v>
      </c>
      <c r="B109" t="s">
        <v>45</v>
      </c>
      <c r="C109" t="s">
        <v>99</v>
      </c>
      <c r="D109" t="s">
        <v>38</v>
      </c>
      <c r="E109" s="4">
        <v>200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200</v>
      </c>
      <c r="L109">
        <f t="shared" si="2"/>
        <v>2024</v>
      </c>
      <c r="M109">
        <f t="shared" si="3"/>
        <v>3</v>
      </c>
    </row>
    <row r="110" spans="1:13" ht="15" customHeight="1" x14ac:dyDescent="0.2">
      <c r="A110" s="3">
        <v>45505</v>
      </c>
      <c r="B110" t="s">
        <v>45</v>
      </c>
      <c r="C110" t="s">
        <v>99</v>
      </c>
      <c r="D110" t="s">
        <v>38</v>
      </c>
      <c r="E110" s="4">
        <v>200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200</v>
      </c>
      <c r="L110">
        <f t="shared" si="2"/>
        <v>2024</v>
      </c>
      <c r="M110">
        <f t="shared" si="3"/>
        <v>3</v>
      </c>
    </row>
    <row r="111" spans="1:13" ht="15" customHeight="1" x14ac:dyDescent="0.2">
      <c r="A111" s="3">
        <v>45505</v>
      </c>
      <c r="B111" t="s">
        <v>45</v>
      </c>
      <c r="C111" t="s">
        <v>99</v>
      </c>
      <c r="D111" t="s">
        <v>38</v>
      </c>
      <c r="E111" s="4">
        <v>200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200</v>
      </c>
      <c r="L111">
        <f t="shared" si="2"/>
        <v>2024</v>
      </c>
      <c r="M111">
        <f t="shared" si="3"/>
        <v>3</v>
      </c>
    </row>
    <row r="112" spans="1:13" ht="15" customHeight="1" x14ac:dyDescent="0.2">
      <c r="A112" s="3">
        <v>45505</v>
      </c>
      <c r="B112" t="s">
        <v>45</v>
      </c>
      <c r="C112" t="s">
        <v>99</v>
      </c>
      <c r="D112" t="s">
        <v>38</v>
      </c>
      <c r="E112" s="4">
        <v>200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200</v>
      </c>
      <c r="L112">
        <f t="shared" si="2"/>
        <v>2024</v>
      </c>
      <c r="M112">
        <f t="shared" si="3"/>
        <v>3</v>
      </c>
    </row>
    <row r="113" spans="1:13" ht="15" customHeight="1" x14ac:dyDescent="0.2">
      <c r="A113" s="3">
        <v>45505</v>
      </c>
      <c r="B113" t="s">
        <v>45</v>
      </c>
      <c r="C113" t="s">
        <v>160</v>
      </c>
      <c r="D113" t="s">
        <v>38</v>
      </c>
      <c r="E113" s="4">
        <v>200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200</v>
      </c>
      <c r="L113">
        <f t="shared" si="2"/>
        <v>2024</v>
      </c>
      <c r="M113">
        <f t="shared" si="3"/>
        <v>3</v>
      </c>
    </row>
    <row r="114" spans="1:13" ht="15" customHeight="1" x14ac:dyDescent="0.2">
      <c r="A114" s="3">
        <v>45538</v>
      </c>
      <c r="B114" t="s">
        <v>161</v>
      </c>
      <c r="C114" t="s">
        <v>162</v>
      </c>
      <c r="D114" t="s">
        <v>77</v>
      </c>
      <c r="E114" s="4">
        <v>1799</v>
      </c>
      <c r="F114" s="4">
        <v>260.86</v>
      </c>
      <c r="G114" s="4">
        <v>1550.86</v>
      </c>
      <c r="H114" s="4">
        <v>15.51</v>
      </c>
      <c r="I114" s="4">
        <v>124.07</v>
      </c>
      <c r="J114" s="4">
        <v>95</v>
      </c>
      <c r="K114" s="4">
        <v>1303.57</v>
      </c>
      <c r="L114">
        <f t="shared" si="2"/>
        <v>2024</v>
      </c>
      <c r="M114">
        <f t="shared" si="3"/>
        <v>3</v>
      </c>
    </row>
    <row r="115" spans="1:13" ht="15" customHeight="1" x14ac:dyDescent="0.2">
      <c r="A115" s="3">
        <v>45539</v>
      </c>
      <c r="B115" t="s">
        <v>163</v>
      </c>
      <c r="C115" t="s">
        <v>31</v>
      </c>
      <c r="D115" t="s">
        <v>164</v>
      </c>
      <c r="E115" s="4">
        <v>1700.1</v>
      </c>
      <c r="F115" s="4">
        <v>246.51</v>
      </c>
      <c r="G115" s="4">
        <v>1465.6</v>
      </c>
      <c r="H115" s="4">
        <v>14.66</v>
      </c>
      <c r="I115" s="4">
        <v>117.25</v>
      </c>
      <c r="J115" s="4">
        <v>73</v>
      </c>
      <c r="K115" s="4">
        <v>1248.68</v>
      </c>
      <c r="L115">
        <f t="shared" si="2"/>
        <v>2024</v>
      </c>
      <c r="M115">
        <f t="shared" si="3"/>
        <v>3</v>
      </c>
    </row>
    <row r="116" spans="1:13" ht="15" customHeight="1" x14ac:dyDescent="0.2">
      <c r="A116" s="3">
        <v>45540</v>
      </c>
      <c r="B116" t="s">
        <v>145</v>
      </c>
      <c r="C116" t="s">
        <v>165</v>
      </c>
      <c r="D116" t="s">
        <v>53</v>
      </c>
      <c r="E116" s="4">
        <v>359.1</v>
      </c>
      <c r="F116" s="4">
        <v>52.07</v>
      </c>
      <c r="G116" s="4">
        <v>309.57</v>
      </c>
      <c r="H116" s="4">
        <v>3.1</v>
      </c>
      <c r="I116" s="4">
        <v>24.77</v>
      </c>
      <c r="J116" s="4">
        <v>63.6</v>
      </c>
      <c r="K116" s="4">
        <v>215.57</v>
      </c>
      <c r="L116">
        <f t="shared" si="2"/>
        <v>2024</v>
      </c>
      <c r="M116">
        <f t="shared" si="3"/>
        <v>3</v>
      </c>
    </row>
    <row r="117" spans="1:13" ht="15" customHeight="1" x14ac:dyDescent="0.2">
      <c r="A117" s="3">
        <v>45541</v>
      </c>
      <c r="B117" t="s">
        <v>166</v>
      </c>
      <c r="C117" t="s">
        <v>31</v>
      </c>
      <c r="D117" t="s">
        <v>24</v>
      </c>
      <c r="E117" s="4">
        <v>1700.1</v>
      </c>
      <c r="F117" s="4">
        <v>246.51</v>
      </c>
      <c r="G117" s="4">
        <v>1465.6</v>
      </c>
      <c r="H117" s="4">
        <v>14.66</v>
      </c>
      <c r="I117" s="4">
        <v>117.25</v>
      </c>
      <c r="J117" s="4">
        <v>73</v>
      </c>
      <c r="K117" s="4">
        <v>1248.68</v>
      </c>
      <c r="L117">
        <f t="shared" si="2"/>
        <v>2024</v>
      </c>
      <c r="M117">
        <f t="shared" si="3"/>
        <v>3</v>
      </c>
    </row>
    <row r="118" spans="1:13" ht="15" customHeight="1" x14ac:dyDescent="0.2">
      <c r="A118" s="3">
        <v>45542</v>
      </c>
      <c r="B118" t="s">
        <v>167</v>
      </c>
      <c r="C118" t="s">
        <v>31</v>
      </c>
      <c r="D118" t="s">
        <v>38</v>
      </c>
      <c r="E118" s="4">
        <v>1700.1</v>
      </c>
      <c r="F118" s="4">
        <v>246.51</v>
      </c>
      <c r="G118" s="4">
        <v>1465.6</v>
      </c>
      <c r="H118" s="4">
        <v>14.66</v>
      </c>
      <c r="I118" s="4">
        <v>117.25</v>
      </c>
      <c r="J118" s="4">
        <v>73</v>
      </c>
      <c r="K118" s="4">
        <v>1248.68</v>
      </c>
      <c r="L118">
        <f t="shared" si="2"/>
        <v>2024</v>
      </c>
      <c r="M118">
        <f t="shared" si="3"/>
        <v>3</v>
      </c>
    </row>
    <row r="119" spans="1:13" ht="15" customHeight="1" x14ac:dyDescent="0.2">
      <c r="A119" s="3">
        <v>45543</v>
      </c>
      <c r="B119" t="s">
        <v>168</v>
      </c>
      <c r="C119" t="s">
        <v>115</v>
      </c>
      <c r="D119" t="s">
        <v>77</v>
      </c>
      <c r="E119" s="4">
        <v>1899</v>
      </c>
      <c r="F119" s="4">
        <v>275.36</v>
      </c>
      <c r="G119" s="4">
        <v>1637.07</v>
      </c>
      <c r="H119" s="4">
        <v>16.37</v>
      </c>
      <c r="I119" s="4">
        <v>130.97</v>
      </c>
      <c r="J119" s="4">
        <v>73</v>
      </c>
      <c r="K119" s="4">
        <v>1403.31</v>
      </c>
      <c r="L119">
        <f t="shared" si="2"/>
        <v>2024</v>
      </c>
      <c r="M119">
        <f t="shared" si="3"/>
        <v>3</v>
      </c>
    </row>
    <row r="120" spans="1:13" ht="15" customHeight="1" x14ac:dyDescent="0.2">
      <c r="A120" s="3">
        <v>45543</v>
      </c>
      <c r="B120" t="s">
        <v>169</v>
      </c>
      <c r="C120" t="s">
        <v>76</v>
      </c>
      <c r="D120" t="s">
        <v>129</v>
      </c>
      <c r="E120" s="4">
        <v>1785</v>
      </c>
      <c r="F120" s="4">
        <v>258.83</v>
      </c>
      <c r="G120" s="4">
        <v>1538.79</v>
      </c>
      <c r="H120" s="4">
        <v>15.39</v>
      </c>
      <c r="I120" s="4">
        <v>123.1</v>
      </c>
      <c r="J120" s="4">
        <v>73</v>
      </c>
      <c r="K120" s="4">
        <v>1314.68</v>
      </c>
      <c r="L120">
        <f t="shared" si="2"/>
        <v>2024</v>
      </c>
      <c r="M120">
        <f t="shared" si="3"/>
        <v>3</v>
      </c>
    </row>
    <row r="121" spans="1:13" ht="15" customHeight="1" x14ac:dyDescent="0.2">
      <c r="A121" s="3">
        <v>45544</v>
      </c>
      <c r="B121" t="s">
        <v>170</v>
      </c>
      <c r="C121" t="s">
        <v>76</v>
      </c>
      <c r="D121" t="s">
        <v>49</v>
      </c>
      <c r="E121" s="4">
        <v>1785</v>
      </c>
      <c r="F121" s="4">
        <v>258.83</v>
      </c>
      <c r="G121" s="4">
        <v>1538.79</v>
      </c>
      <c r="H121" s="4">
        <v>15.39</v>
      </c>
      <c r="I121" s="4">
        <v>123.1</v>
      </c>
      <c r="J121" s="4">
        <v>73</v>
      </c>
      <c r="K121" s="4">
        <v>1314.68</v>
      </c>
      <c r="L121">
        <f t="shared" si="2"/>
        <v>2024</v>
      </c>
      <c r="M121">
        <f t="shared" si="3"/>
        <v>3</v>
      </c>
    </row>
    <row r="122" spans="1:13" ht="15" customHeight="1" x14ac:dyDescent="0.2">
      <c r="A122" s="3">
        <v>45546</v>
      </c>
      <c r="B122" t="s">
        <v>171</v>
      </c>
      <c r="C122" t="s">
        <v>76</v>
      </c>
      <c r="D122" t="s">
        <v>77</v>
      </c>
      <c r="E122" s="4">
        <v>1748</v>
      </c>
      <c r="F122" s="4">
        <v>253.46</v>
      </c>
      <c r="G122" s="4">
        <v>1506.9</v>
      </c>
      <c r="H122" s="4">
        <v>15.07</v>
      </c>
      <c r="I122" s="4">
        <v>120.55</v>
      </c>
      <c r="J122" s="4">
        <v>73</v>
      </c>
      <c r="K122" s="4">
        <v>1285.92</v>
      </c>
      <c r="L122">
        <f t="shared" si="2"/>
        <v>2024</v>
      </c>
      <c r="M122">
        <f t="shared" si="3"/>
        <v>3</v>
      </c>
    </row>
    <row r="123" spans="1:13" ht="15" customHeight="1" x14ac:dyDescent="0.2">
      <c r="A123" s="3">
        <v>45547</v>
      </c>
      <c r="B123" t="s">
        <v>172</v>
      </c>
      <c r="C123" t="s">
        <v>31</v>
      </c>
      <c r="D123" t="s">
        <v>85</v>
      </c>
      <c r="E123" s="4">
        <v>1700.1</v>
      </c>
      <c r="F123" s="4">
        <v>246.51</v>
      </c>
      <c r="G123" s="4">
        <v>1465.6</v>
      </c>
      <c r="H123" s="4">
        <v>14.66</v>
      </c>
      <c r="I123" s="4">
        <v>117.25</v>
      </c>
      <c r="J123" s="4">
        <v>73</v>
      </c>
      <c r="K123" s="4">
        <v>1248.68</v>
      </c>
      <c r="L123">
        <f t="shared" si="2"/>
        <v>2024</v>
      </c>
      <c r="M123">
        <f t="shared" si="3"/>
        <v>3</v>
      </c>
    </row>
    <row r="124" spans="1:13" ht="15" customHeight="1" x14ac:dyDescent="0.2">
      <c r="A124" s="3">
        <v>45550</v>
      </c>
      <c r="B124" t="s">
        <v>173</v>
      </c>
      <c r="C124" t="s">
        <v>31</v>
      </c>
      <c r="D124" t="s">
        <v>59</v>
      </c>
      <c r="E124" s="4">
        <v>1699</v>
      </c>
      <c r="F124" s="4">
        <v>246.36</v>
      </c>
      <c r="G124" s="4">
        <v>1464.66</v>
      </c>
      <c r="H124" s="4">
        <v>14.65</v>
      </c>
      <c r="I124" s="4">
        <v>117.17</v>
      </c>
      <c r="J124" s="4">
        <v>73</v>
      </c>
      <c r="K124" s="4">
        <v>1247.83</v>
      </c>
      <c r="L124">
        <f t="shared" si="2"/>
        <v>2024</v>
      </c>
      <c r="M124">
        <f t="shared" si="3"/>
        <v>3</v>
      </c>
    </row>
    <row r="125" spans="1:13" ht="15" customHeight="1" x14ac:dyDescent="0.2">
      <c r="A125" s="3">
        <v>45551</v>
      </c>
      <c r="B125" t="s">
        <v>174</v>
      </c>
      <c r="C125" t="s">
        <v>76</v>
      </c>
      <c r="D125" t="s">
        <v>175</v>
      </c>
      <c r="E125" s="4">
        <v>1720</v>
      </c>
      <c r="F125" s="4">
        <v>249.4</v>
      </c>
      <c r="G125" s="4">
        <v>1482.76</v>
      </c>
      <c r="H125" s="4">
        <v>14.83</v>
      </c>
      <c r="I125" s="4">
        <v>118.62</v>
      </c>
      <c r="J125" s="4">
        <v>73</v>
      </c>
      <c r="K125" s="4">
        <v>1264.1500000000001</v>
      </c>
      <c r="L125">
        <f t="shared" si="2"/>
        <v>2024</v>
      </c>
      <c r="M125">
        <f t="shared" si="3"/>
        <v>3</v>
      </c>
    </row>
    <row r="126" spans="1:13" ht="15" customHeight="1" x14ac:dyDescent="0.2">
      <c r="A126" s="3">
        <v>45552</v>
      </c>
      <c r="B126" t="s">
        <v>176</v>
      </c>
      <c r="C126" t="s">
        <v>76</v>
      </c>
      <c r="D126" t="s">
        <v>49</v>
      </c>
      <c r="E126" s="4">
        <v>1712</v>
      </c>
      <c r="F126" s="4">
        <v>248.24</v>
      </c>
      <c r="G126" s="4">
        <v>1475.86</v>
      </c>
      <c r="H126" s="4">
        <v>14.76</v>
      </c>
      <c r="I126" s="4">
        <v>118.07</v>
      </c>
      <c r="J126" s="4">
        <v>73</v>
      </c>
      <c r="K126" s="4">
        <v>1257.93</v>
      </c>
      <c r="L126">
        <f t="shared" si="2"/>
        <v>2024</v>
      </c>
      <c r="M126">
        <f t="shared" si="3"/>
        <v>3</v>
      </c>
    </row>
    <row r="127" spans="1:13" ht="15" customHeight="1" x14ac:dyDescent="0.2">
      <c r="A127" s="3">
        <v>45552</v>
      </c>
      <c r="B127" t="s">
        <v>177</v>
      </c>
      <c r="C127" t="s">
        <v>67</v>
      </c>
      <c r="D127" t="s">
        <v>164</v>
      </c>
      <c r="E127" s="4">
        <v>1799.1</v>
      </c>
      <c r="F127" s="4">
        <v>260.87</v>
      </c>
      <c r="G127" s="4">
        <v>1550.95</v>
      </c>
      <c r="H127" s="4">
        <v>15.51</v>
      </c>
      <c r="I127" s="4">
        <v>124.08</v>
      </c>
      <c r="J127" s="4">
        <v>73</v>
      </c>
      <c r="K127" s="4">
        <v>1325.65</v>
      </c>
      <c r="L127">
        <f t="shared" si="2"/>
        <v>2024</v>
      </c>
      <c r="M127">
        <f t="shared" si="3"/>
        <v>3</v>
      </c>
    </row>
    <row r="128" spans="1:13" ht="15" customHeight="1" x14ac:dyDescent="0.2">
      <c r="A128" s="3">
        <v>45553</v>
      </c>
      <c r="B128" t="s">
        <v>178</v>
      </c>
      <c r="C128" t="s">
        <v>76</v>
      </c>
      <c r="D128" t="s">
        <v>93</v>
      </c>
      <c r="E128" s="4">
        <v>1712</v>
      </c>
      <c r="F128" s="4">
        <v>248.24</v>
      </c>
      <c r="G128" s="4">
        <v>1475.86</v>
      </c>
      <c r="H128" s="4">
        <v>14.76</v>
      </c>
      <c r="I128" s="4">
        <v>118.07</v>
      </c>
      <c r="J128" s="4">
        <v>73</v>
      </c>
      <c r="K128" s="4">
        <v>1257.93</v>
      </c>
      <c r="L128">
        <f t="shared" si="2"/>
        <v>2024</v>
      </c>
      <c r="M128">
        <f t="shared" si="3"/>
        <v>3</v>
      </c>
    </row>
    <row r="129" spans="1:13" ht="15" customHeight="1" x14ac:dyDescent="0.2">
      <c r="A129" s="3">
        <v>45536</v>
      </c>
      <c r="B129" t="s">
        <v>159</v>
      </c>
      <c r="C129" t="s">
        <v>44</v>
      </c>
      <c r="D129" t="s">
        <v>38</v>
      </c>
      <c r="E129" s="4">
        <v>180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180</v>
      </c>
      <c r="L129">
        <f t="shared" si="2"/>
        <v>2024</v>
      </c>
      <c r="M129">
        <f t="shared" si="3"/>
        <v>3</v>
      </c>
    </row>
    <row r="130" spans="1:13" ht="15" customHeight="1" x14ac:dyDescent="0.2">
      <c r="A130" s="3">
        <v>45536</v>
      </c>
      <c r="B130" t="s">
        <v>159</v>
      </c>
      <c r="C130" t="s">
        <v>160</v>
      </c>
      <c r="D130" t="s">
        <v>38</v>
      </c>
      <c r="E130" s="4">
        <v>200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200</v>
      </c>
      <c r="L130">
        <f t="shared" ref="L130:L193" si="4">YEAR(A130)</f>
        <v>2024</v>
      </c>
      <c r="M130">
        <f t="shared" ref="M130:M193" si="5">ROUNDUP(MONTH(A130)/3,0)</f>
        <v>3</v>
      </c>
    </row>
    <row r="131" spans="1:13" ht="15" customHeight="1" x14ac:dyDescent="0.2">
      <c r="A131" s="3">
        <v>45553</v>
      </c>
      <c r="B131" t="s">
        <v>179</v>
      </c>
      <c r="C131" t="s">
        <v>90</v>
      </c>
      <c r="D131" t="s">
        <v>93</v>
      </c>
      <c r="E131" s="4">
        <v>610.20000000000005</v>
      </c>
      <c r="F131" s="4">
        <v>88.48</v>
      </c>
      <c r="G131" s="4">
        <v>526.03</v>
      </c>
      <c r="H131" s="4">
        <v>5.26</v>
      </c>
      <c r="I131" s="4">
        <v>42.08</v>
      </c>
      <c r="J131" s="4">
        <v>127.2</v>
      </c>
      <c r="K131" s="4">
        <v>347.18</v>
      </c>
      <c r="L131">
        <f t="shared" si="4"/>
        <v>2024</v>
      </c>
      <c r="M131">
        <f t="shared" si="5"/>
        <v>3</v>
      </c>
    </row>
    <row r="132" spans="1:13" ht="15" customHeight="1" x14ac:dyDescent="0.2">
      <c r="A132" s="3">
        <v>45553</v>
      </c>
      <c r="B132" t="s">
        <v>180</v>
      </c>
      <c r="C132" t="s">
        <v>90</v>
      </c>
      <c r="D132" t="s">
        <v>38</v>
      </c>
      <c r="E132" s="4">
        <v>305.10000000000002</v>
      </c>
      <c r="F132" s="4">
        <v>44.24</v>
      </c>
      <c r="G132" s="4">
        <v>263.02</v>
      </c>
      <c r="H132" s="4">
        <v>2.63</v>
      </c>
      <c r="I132" s="4">
        <v>21.04</v>
      </c>
      <c r="J132" s="4">
        <v>63.6</v>
      </c>
      <c r="K132" s="4">
        <v>173.59</v>
      </c>
      <c r="L132">
        <f t="shared" si="4"/>
        <v>2024</v>
      </c>
      <c r="M132">
        <f t="shared" si="5"/>
        <v>3</v>
      </c>
    </row>
    <row r="133" spans="1:13" ht="15" customHeight="1" x14ac:dyDescent="0.2">
      <c r="A133" s="3">
        <v>45555</v>
      </c>
      <c r="B133" t="s">
        <v>181</v>
      </c>
      <c r="C133" t="s">
        <v>76</v>
      </c>
      <c r="D133" t="s">
        <v>53</v>
      </c>
      <c r="E133" s="4">
        <v>1710</v>
      </c>
      <c r="F133" s="4">
        <v>247.95</v>
      </c>
      <c r="G133" s="4">
        <v>1474.14</v>
      </c>
      <c r="H133" s="4">
        <v>14.74</v>
      </c>
      <c r="I133" s="4">
        <v>117.93</v>
      </c>
      <c r="J133" s="4">
        <v>73</v>
      </c>
      <c r="K133" s="4">
        <v>1256.3800000000001</v>
      </c>
      <c r="L133">
        <f t="shared" si="4"/>
        <v>2024</v>
      </c>
      <c r="M133">
        <f t="shared" si="5"/>
        <v>3</v>
      </c>
    </row>
    <row r="134" spans="1:13" ht="15" customHeight="1" x14ac:dyDescent="0.2">
      <c r="A134" s="3">
        <v>45556</v>
      </c>
      <c r="B134" t="s">
        <v>182</v>
      </c>
      <c r="C134" t="s">
        <v>74</v>
      </c>
      <c r="D134" t="s">
        <v>140</v>
      </c>
      <c r="E134" s="4">
        <v>1699</v>
      </c>
      <c r="F134" s="4">
        <v>169.9</v>
      </c>
      <c r="G134" s="4">
        <v>1464.66</v>
      </c>
      <c r="H134" s="4">
        <v>14.65</v>
      </c>
      <c r="I134" s="4">
        <v>117.17</v>
      </c>
      <c r="J134" s="4">
        <v>95</v>
      </c>
      <c r="K134" s="4">
        <v>1302.28</v>
      </c>
      <c r="L134">
        <f t="shared" si="4"/>
        <v>2024</v>
      </c>
      <c r="M134">
        <f t="shared" si="5"/>
        <v>3</v>
      </c>
    </row>
    <row r="135" spans="1:13" ht="15" customHeight="1" x14ac:dyDescent="0.2">
      <c r="A135" s="3">
        <v>45557</v>
      </c>
      <c r="B135" t="s">
        <v>183</v>
      </c>
      <c r="C135" t="s">
        <v>67</v>
      </c>
      <c r="D135" t="s">
        <v>35</v>
      </c>
      <c r="E135" s="4">
        <v>1710</v>
      </c>
      <c r="F135" s="4">
        <v>171</v>
      </c>
      <c r="G135" s="4">
        <v>1474.14</v>
      </c>
      <c r="H135" s="4">
        <v>14.74</v>
      </c>
      <c r="I135" s="4">
        <v>117.93</v>
      </c>
      <c r="J135" s="4">
        <v>79.5</v>
      </c>
      <c r="K135" s="4">
        <v>1326.83</v>
      </c>
      <c r="L135">
        <f t="shared" si="4"/>
        <v>2024</v>
      </c>
      <c r="M135">
        <f t="shared" si="5"/>
        <v>3</v>
      </c>
    </row>
    <row r="136" spans="1:13" ht="15" customHeight="1" x14ac:dyDescent="0.2">
      <c r="A136" s="3">
        <v>45557</v>
      </c>
      <c r="B136" t="s">
        <v>184</v>
      </c>
      <c r="C136" t="s">
        <v>185</v>
      </c>
      <c r="D136" t="s">
        <v>93</v>
      </c>
      <c r="E136" s="4">
        <v>299</v>
      </c>
      <c r="F136" s="4">
        <v>43.36</v>
      </c>
      <c r="G136" s="4">
        <v>257.76</v>
      </c>
      <c r="H136" s="4">
        <v>2.58</v>
      </c>
      <c r="I136" s="4">
        <v>20.62</v>
      </c>
      <c r="J136" s="4">
        <v>63.6</v>
      </c>
      <c r="K136" s="4">
        <v>168.85</v>
      </c>
      <c r="L136">
        <f t="shared" si="4"/>
        <v>2024</v>
      </c>
      <c r="M136">
        <f t="shared" si="5"/>
        <v>3</v>
      </c>
    </row>
    <row r="137" spans="1:13" ht="15" customHeight="1" x14ac:dyDescent="0.2">
      <c r="A137" s="3">
        <v>45558</v>
      </c>
      <c r="B137" t="s">
        <v>186</v>
      </c>
      <c r="C137" t="s">
        <v>187</v>
      </c>
      <c r="D137" t="s">
        <v>38</v>
      </c>
      <c r="E137" s="4">
        <v>314.10000000000002</v>
      </c>
      <c r="F137" s="4">
        <v>61.25</v>
      </c>
      <c r="G137" s="4">
        <v>270.77999999999997</v>
      </c>
      <c r="H137" s="4">
        <v>2.71</v>
      </c>
      <c r="I137" s="4">
        <v>21.66</v>
      </c>
      <c r="J137" s="4">
        <v>63.6</v>
      </c>
      <c r="K137" s="4">
        <v>164.88</v>
      </c>
      <c r="L137">
        <f t="shared" si="4"/>
        <v>2024</v>
      </c>
      <c r="M137">
        <f t="shared" si="5"/>
        <v>3</v>
      </c>
    </row>
    <row r="138" spans="1:13" ht="15" customHeight="1" x14ac:dyDescent="0.2">
      <c r="A138" s="3">
        <v>45558</v>
      </c>
      <c r="B138" t="s">
        <v>188</v>
      </c>
      <c r="C138" t="s">
        <v>67</v>
      </c>
      <c r="D138" t="s">
        <v>189</v>
      </c>
      <c r="E138" s="4">
        <v>1799.1</v>
      </c>
      <c r="F138" s="4">
        <v>260.87</v>
      </c>
      <c r="G138" s="4">
        <v>1550.95</v>
      </c>
      <c r="H138" s="4">
        <v>15.51</v>
      </c>
      <c r="I138" s="4">
        <v>124.08</v>
      </c>
      <c r="J138" s="4">
        <v>73</v>
      </c>
      <c r="K138" s="4">
        <v>1325.65</v>
      </c>
      <c r="L138">
        <f t="shared" si="4"/>
        <v>2024</v>
      </c>
      <c r="M138">
        <f t="shared" si="5"/>
        <v>3</v>
      </c>
    </row>
    <row r="139" spans="1:13" ht="15" customHeight="1" x14ac:dyDescent="0.2">
      <c r="A139" s="3">
        <v>45562</v>
      </c>
      <c r="B139" t="s">
        <v>190</v>
      </c>
      <c r="C139" t="s">
        <v>191</v>
      </c>
      <c r="D139" t="s">
        <v>77</v>
      </c>
      <c r="E139" s="4">
        <v>80.099999999999994</v>
      </c>
      <c r="F139" s="4">
        <v>43.62</v>
      </c>
      <c r="G139" s="4">
        <v>69.05</v>
      </c>
      <c r="H139" s="4">
        <v>0.69</v>
      </c>
      <c r="I139" s="4">
        <v>5.52</v>
      </c>
      <c r="J139" s="4">
        <v>0</v>
      </c>
      <c r="K139" s="4">
        <v>30.27</v>
      </c>
      <c r="L139">
        <f t="shared" si="4"/>
        <v>2024</v>
      </c>
      <c r="M139">
        <f t="shared" si="5"/>
        <v>3</v>
      </c>
    </row>
    <row r="140" spans="1:13" ht="15" customHeight="1" x14ac:dyDescent="0.2">
      <c r="A140" s="3">
        <v>45564</v>
      </c>
      <c r="B140" t="s">
        <v>192</v>
      </c>
      <c r="C140" t="s">
        <v>67</v>
      </c>
      <c r="D140" t="s">
        <v>33</v>
      </c>
      <c r="E140" s="4">
        <v>1799.1</v>
      </c>
      <c r="F140" s="4">
        <v>260.87</v>
      </c>
      <c r="G140" s="4">
        <v>1550.95</v>
      </c>
      <c r="H140" s="4">
        <v>15.51</v>
      </c>
      <c r="I140" s="4">
        <v>124.08</v>
      </c>
      <c r="J140" s="4">
        <v>73</v>
      </c>
      <c r="K140" s="4">
        <v>1325.65</v>
      </c>
      <c r="L140">
        <f t="shared" si="4"/>
        <v>2024</v>
      </c>
      <c r="M140">
        <f t="shared" si="5"/>
        <v>3</v>
      </c>
    </row>
    <row r="141" spans="1:13" ht="15" customHeight="1" x14ac:dyDescent="0.2">
      <c r="A141" s="3">
        <v>45564</v>
      </c>
      <c r="B141" t="s">
        <v>193</v>
      </c>
      <c r="C141" t="s">
        <v>67</v>
      </c>
      <c r="D141" t="s">
        <v>29</v>
      </c>
      <c r="E141" s="4">
        <v>1799</v>
      </c>
      <c r="F141" s="4">
        <v>179.9</v>
      </c>
      <c r="G141" s="4">
        <v>1550.86</v>
      </c>
      <c r="H141" s="4">
        <v>15.51</v>
      </c>
      <c r="I141" s="4">
        <v>124.07</v>
      </c>
      <c r="J141" s="4">
        <v>73</v>
      </c>
      <c r="K141" s="4">
        <v>1406.52</v>
      </c>
      <c r="L141">
        <f t="shared" si="4"/>
        <v>2024</v>
      </c>
      <c r="M141">
        <f t="shared" si="5"/>
        <v>3</v>
      </c>
    </row>
    <row r="142" spans="1:13" ht="15" customHeight="1" x14ac:dyDescent="0.2">
      <c r="A142" s="3">
        <v>45565</v>
      </c>
      <c r="B142" t="s">
        <v>173</v>
      </c>
      <c r="C142" t="s">
        <v>90</v>
      </c>
      <c r="D142" t="s">
        <v>59</v>
      </c>
      <c r="E142" s="4">
        <v>305.10000000000002</v>
      </c>
      <c r="F142" s="4">
        <v>44.24</v>
      </c>
      <c r="G142" s="4">
        <v>263.02</v>
      </c>
      <c r="H142" s="4">
        <v>2.63</v>
      </c>
      <c r="I142" s="4">
        <v>21.04</v>
      </c>
      <c r="J142" s="4">
        <v>63.6</v>
      </c>
      <c r="K142" s="4">
        <v>173.59</v>
      </c>
      <c r="L142">
        <f t="shared" si="4"/>
        <v>2024</v>
      </c>
      <c r="M142">
        <f t="shared" si="5"/>
        <v>3</v>
      </c>
    </row>
    <row r="143" spans="1:13" ht="15" customHeight="1" x14ac:dyDescent="0.2">
      <c r="A143" s="3">
        <v>45567</v>
      </c>
      <c r="B143" t="s">
        <v>194</v>
      </c>
      <c r="C143" t="s">
        <v>67</v>
      </c>
      <c r="D143" t="s">
        <v>38</v>
      </c>
      <c r="E143" s="4">
        <v>1799</v>
      </c>
      <c r="F143" s="4">
        <v>179.9</v>
      </c>
      <c r="G143" s="4">
        <v>1550.86</v>
      </c>
      <c r="H143" s="4">
        <v>15.51</v>
      </c>
      <c r="I143" s="4">
        <v>124.07</v>
      </c>
      <c r="J143" s="4">
        <v>73</v>
      </c>
      <c r="K143" s="4">
        <v>1406.52</v>
      </c>
      <c r="L143">
        <f t="shared" si="4"/>
        <v>2024</v>
      </c>
      <c r="M143">
        <f t="shared" si="5"/>
        <v>4</v>
      </c>
    </row>
    <row r="144" spans="1:13" ht="15" customHeight="1" x14ac:dyDescent="0.2">
      <c r="A144" s="3">
        <v>45569</v>
      </c>
      <c r="B144" t="s">
        <v>193</v>
      </c>
      <c r="C144" t="s">
        <v>95</v>
      </c>
      <c r="D144" t="s">
        <v>29</v>
      </c>
      <c r="E144" s="4">
        <v>449.1</v>
      </c>
      <c r="F144" s="4">
        <v>65.12</v>
      </c>
      <c r="G144" s="4">
        <v>387.16</v>
      </c>
      <c r="H144" s="4">
        <v>3.87</v>
      </c>
      <c r="I144" s="4">
        <v>30.97</v>
      </c>
      <c r="J144" s="4">
        <v>76</v>
      </c>
      <c r="K144" s="4">
        <v>273.14</v>
      </c>
      <c r="L144">
        <f t="shared" si="4"/>
        <v>2024</v>
      </c>
      <c r="M144">
        <f t="shared" si="5"/>
        <v>4</v>
      </c>
    </row>
    <row r="145" spans="1:13" ht="15" customHeight="1" x14ac:dyDescent="0.2">
      <c r="A145" s="3">
        <v>45570</v>
      </c>
      <c r="B145" t="s">
        <v>124</v>
      </c>
      <c r="C145" t="s">
        <v>90</v>
      </c>
      <c r="D145" t="s">
        <v>38</v>
      </c>
      <c r="E145" s="4">
        <v>120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120</v>
      </c>
      <c r="L145">
        <f t="shared" si="4"/>
        <v>2024</v>
      </c>
      <c r="M145">
        <f t="shared" si="5"/>
        <v>4</v>
      </c>
    </row>
    <row r="146" spans="1:13" ht="15" customHeight="1" x14ac:dyDescent="0.2">
      <c r="A146" s="3">
        <v>45570</v>
      </c>
      <c r="B146" t="s">
        <v>195</v>
      </c>
      <c r="C146" t="s">
        <v>187</v>
      </c>
      <c r="D146" t="s">
        <v>21</v>
      </c>
      <c r="E146" s="4">
        <v>314.10000000000002</v>
      </c>
      <c r="F146" s="4">
        <v>61.25</v>
      </c>
      <c r="G146" s="4">
        <v>270.77999999999997</v>
      </c>
      <c r="H146" s="4">
        <v>2.71</v>
      </c>
      <c r="I146" s="4">
        <v>21.66</v>
      </c>
      <c r="J146" s="4">
        <v>63.6</v>
      </c>
      <c r="K146" s="4">
        <v>164.88</v>
      </c>
      <c r="L146">
        <f t="shared" si="4"/>
        <v>2024</v>
      </c>
      <c r="M146">
        <f t="shared" si="5"/>
        <v>4</v>
      </c>
    </row>
    <row r="147" spans="1:13" ht="15" customHeight="1" x14ac:dyDescent="0.2">
      <c r="A147" s="3">
        <v>45572</v>
      </c>
      <c r="B147" t="s">
        <v>196</v>
      </c>
      <c r="C147" t="s">
        <v>52</v>
      </c>
      <c r="D147" t="s">
        <v>65</v>
      </c>
      <c r="E147" s="4">
        <v>299</v>
      </c>
      <c r="F147" s="4">
        <v>58.31</v>
      </c>
      <c r="G147" s="4">
        <v>257.76</v>
      </c>
      <c r="H147" s="4">
        <v>2.58</v>
      </c>
      <c r="I147" s="4">
        <v>20.62</v>
      </c>
      <c r="J147" s="4">
        <v>76</v>
      </c>
      <c r="K147" s="4">
        <v>141.5</v>
      </c>
      <c r="L147">
        <f t="shared" si="4"/>
        <v>2024</v>
      </c>
      <c r="M147">
        <f t="shared" si="5"/>
        <v>4</v>
      </c>
    </row>
    <row r="148" spans="1:13" ht="15" customHeight="1" x14ac:dyDescent="0.2">
      <c r="A148" s="3">
        <v>45572</v>
      </c>
      <c r="B148" t="s">
        <v>197</v>
      </c>
      <c r="C148" t="s">
        <v>123</v>
      </c>
      <c r="D148" t="s">
        <v>175</v>
      </c>
      <c r="E148" s="4">
        <v>299</v>
      </c>
      <c r="F148" s="4">
        <v>58.31</v>
      </c>
      <c r="G148" s="4">
        <v>257.76</v>
      </c>
      <c r="H148" s="4">
        <v>2.58</v>
      </c>
      <c r="I148" s="4">
        <v>20.62</v>
      </c>
      <c r="J148" s="4">
        <v>76</v>
      </c>
      <c r="K148" s="4">
        <v>141.5</v>
      </c>
      <c r="L148">
        <f t="shared" si="4"/>
        <v>2024</v>
      </c>
      <c r="M148">
        <f t="shared" si="5"/>
        <v>4</v>
      </c>
    </row>
    <row r="149" spans="1:13" ht="15" customHeight="1" x14ac:dyDescent="0.2">
      <c r="A149" s="3">
        <v>45572</v>
      </c>
      <c r="B149" t="s">
        <v>198</v>
      </c>
      <c r="C149" t="s">
        <v>31</v>
      </c>
      <c r="D149" t="s">
        <v>27</v>
      </c>
      <c r="E149" s="4">
        <v>1700.1</v>
      </c>
      <c r="F149" s="4">
        <v>246.51</v>
      </c>
      <c r="G149" s="4">
        <v>1465.6</v>
      </c>
      <c r="H149" s="4">
        <v>14.66</v>
      </c>
      <c r="I149" s="4">
        <v>117.25</v>
      </c>
      <c r="J149" s="4">
        <v>79.5</v>
      </c>
      <c r="K149" s="4">
        <v>1242.18</v>
      </c>
      <c r="L149">
        <f t="shared" si="4"/>
        <v>2024</v>
      </c>
      <c r="M149">
        <f t="shared" si="5"/>
        <v>4</v>
      </c>
    </row>
    <row r="150" spans="1:13" ht="15" customHeight="1" x14ac:dyDescent="0.2">
      <c r="A150" s="3">
        <v>45573</v>
      </c>
      <c r="B150" t="s">
        <v>199</v>
      </c>
      <c r="C150" t="s">
        <v>123</v>
      </c>
      <c r="D150" t="s">
        <v>21</v>
      </c>
      <c r="E150" s="4">
        <v>299</v>
      </c>
      <c r="F150" s="4">
        <v>58.31</v>
      </c>
      <c r="G150" s="4">
        <v>257.76</v>
      </c>
      <c r="H150" s="4">
        <v>2.58</v>
      </c>
      <c r="I150" s="4">
        <v>20.62</v>
      </c>
      <c r="J150" s="4">
        <v>76</v>
      </c>
      <c r="K150" s="4">
        <v>141.5</v>
      </c>
      <c r="L150">
        <f t="shared" si="4"/>
        <v>2024</v>
      </c>
      <c r="M150">
        <f t="shared" si="5"/>
        <v>4</v>
      </c>
    </row>
    <row r="151" spans="1:13" ht="15" customHeight="1" x14ac:dyDescent="0.2">
      <c r="A151" s="3">
        <v>45575</v>
      </c>
      <c r="B151" t="s">
        <v>200</v>
      </c>
      <c r="C151" t="s">
        <v>31</v>
      </c>
      <c r="D151" t="s">
        <v>27</v>
      </c>
      <c r="E151" s="4">
        <v>850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850</v>
      </c>
      <c r="L151">
        <f t="shared" si="4"/>
        <v>2024</v>
      </c>
      <c r="M151">
        <f t="shared" si="5"/>
        <v>4</v>
      </c>
    </row>
    <row r="152" spans="1:13" ht="15" customHeight="1" x14ac:dyDescent="0.2">
      <c r="A152" s="3">
        <v>45576</v>
      </c>
      <c r="B152" t="s">
        <v>201</v>
      </c>
      <c r="C152" t="s">
        <v>90</v>
      </c>
      <c r="D152" t="s">
        <v>29</v>
      </c>
      <c r="E152" s="4">
        <v>299</v>
      </c>
      <c r="F152" s="4">
        <v>58.31</v>
      </c>
      <c r="G152" s="4">
        <v>257.76</v>
      </c>
      <c r="H152" s="4">
        <v>2.58</v>
      </c>
      <c r="I152" s="4">
        <v>20.62</v>
      </c>
      <c r="J152" s="4">
        <v>76</v>
      </c>
      <c r="K152" s="4">
        <v>141.5</v>
      </c>
      <c r="L152">
        <f t="shared" si="4"/>
        <v>2024</v>
      </c>
      <c r="M152">
        <f t="shared" si="5"/>
        <v>4</v>
      </c>
    </row>
    <row r="153" spans="1:13" ht="15" customHeight="1" x14ac:dyDescent="0.2">
      <c r="A153" s="3">
        <v>45587</v>
      </c>
      <c r="B153" t="s">
        <v>202</v>
      </c>
      <c r="C153" t="s">
        <v>90</v>
      </c>
      <c r="D153" t="s">
        <v>42</v>
      </c>
      <c r="E153" s="4">
        <v>305.10000000000002</v>
      </c>
      <c r="F153" s="4">
        <v>44.24</v>
      </c>
      <c r="G153" s="4">
        <v>263.02</v>
      </c>
      <c r="H153" s="4">
        <v>2.63</v>
      </c>
      <c r="I153" s="4">
        <v>21.04</v>
      </c>
      <c r="J153" s="4">
        <v>63.6</v>
      </c>
      <c r="K153" s="4">
        <v>173.59</v>
      </c>
      <c r="L153">
        <f t="shared" si="4"/>
        <v>2024</v>
      </c>
      <c r="M153">
        <f t="shared" si="5"/>
        <v>4</v>
      </c>
    </row>
    <row r="154" spans="1:13" ht="15" customHeight="1" x14ac:dyDescent="0.2">
      <c r="A154" s="3">
        <v>45593</v>
      </c>
      <c r="B154" t="s">
        <v>203</v>
      </c>
      <c r="C154" t="s">
        <v>76</v>
      </c>
      <c r="D154" t="s">
        <v>21</v>
      </c>
      <c r="E154" s="4">
        <v>1667</v>
      </c>
      <c r="F154" s="4">
        <v>241.72</v>
      </c>
      <c r="G154" s="4">
        <v>1437.07</v>
      </c>
      <c r="H154" s="4">
        <v>14.37</v>
      </c>
      <c r="I154" s="4">
        <v>114.97</v>
      </c>
      <c r="J154" s="4">
        <v>73</v>
      </c>
      <c r="K154" s="4">
        <v>1222.95</v>
      </c>
      <c r="L154">
        <f t="shared" si="4"/>
        <v>2024</v>
      </c>
      <c r="M154">
        <f t="shared" si="5"/>
        <v>4</v>
      </c>
    </row>
    <row r="155" spans="1:13" ht="15" customHeight="1" x14ac:dyDescent="0.2">
      <c r="A155" s="3">
        <v>45593</v>
      </c>
      <c r="B155" t="s">
        <v>204</v>
      </c>
      <c r="C155" t="s">
        <v>31</v>
      </c>
      <c r="D155" t="s">
        <v>29</v>
      </c>
      <c r="E155" s="4">
        <v>1645</v>
      </c>
      <c r="F155" s="4">
        <v>164.5</v>
      </c>
      <c r="G155" s="4">
        <v>1418.1</v>
      </c>
      <c r="H155" s="4">
        <v>14.18</v>
      </c>
      <c r="I155" s="4">
        <v>113.45</v>
      </c>
      <c r="J155" s="4">
        <v>73</v>
      </c>
      <c r="K155" s="4">
        <v>1279.8699999999999</v>
      </c>
      <c r="L155">
        <f t="shared" si="4"/>
        <v>2024</v>
      </c>
      <c r="M155">
        <f t="shared" si="5"/>
        <v>4</v>
      </c>
    </row>
    <row r="156" spans="1:13" ht="15" customHeight="1" x14ac:dyDescent="0.2">
      <c r="A156" s="3">
        <v>45594</v>
      </c>
      <c r="B156" t="s">
        <v>205</v>
      </c>
      <c r="C156" t="s">
        <v>76</v>
      </c>
      <c r="D156" t="s">
        <v>129</v>
      </c>
      <c r="E156" s="4">
        <v>1667</v>
      </c>
      <c r="F156" s="4">
        <v>241.72</v>
      </c>
      <c r="G156" s="4">
        <v>1437.07</v>
      </c>
      <c r="H156" s="4">
        <v>14.37</v>
      </c>
      <c r="I156" s="4">
        <v>114.97</v>
      </c>
      <c r="J156" s="4">
        <v>73</v>
      </c>
      <c r="K156" s="4">
        <v>1222.95</v>
      </c>
      <c r="L156">
        <f t="shared" si="4"/>
        <v>2024</v>
      </c>
      <c r="M156">
        <f t="shared" si="5"/>
        <v>4</v>
      </c>
    </row>
    <row r="157" spans="1:13" ht="15" customHeight="1" x14ac:dyDescent="0.2">
      <c r="A157" s="3">
        <v>45595</v>
      </c>
      <c r="B157" t="s">
        <v>206</v>
      </c>
      <c r="C157" t="s">
        <v>162</v>
      </c>
      <c r="D157" t="s">
        <v>109</v>
      </c>
      <c r="E157" s="4">
        <v>1799.1</v>
      </c>
      <c r="F157" s="4">
        <v>260.87</v>
      </c>
      <c r="G157" s="4">
        <v>1550.95</v>
      </c>
      <c r="H157" s="4">
        <v>15.51</v>
      </c>
      <c r="I157" s="4">
        <v>124.08</v>
      </c>
      <c r="J157" s="4">
        <v>95</v>
      </c>
      <c r="K157" s="4">
        <v>1303.6500000000001</v>
      </c>
      <c r="L157">
        <f t="shared" si="4"/>
        <v>2024</v>
      </c>
      <c r="M157">
        <f t="shared" si="5"/>
        <v>4</v>
      </c>
    </row>
    <row r="158" spans="1:13" ht="15" customHeight="1" x14ac:dyDescent="0.2">
      <c r="A158" s="3">
        <v>45596</v>
      </c>
      <c r="B158" t="s">
        <v>207</v>
      </c>
      <c r="C158" t="s">
        <v>31</v>
      </c>
      <c r="D158" t="s">
        <v>65</v>
      </c>
      <c r="E158" s="4">
        <v>1700.1</v>
      </c>
      <c r="F158" s="4">
        <v>246.51</v>
      </c>
      <c r="G158" s="4">
        <v>1465.6</v>
      </c>
      <c r="H158" s="4">
        <v>14.66</v>
      </c>
      <c r="I158" s="4">
        <v>117.25</v>
      </c>
      <c r="J158" s="4">
        <v>79.5</v>
      </c>
      <c r="K158" s="4">
        <v>1242.18</v>
      </c>
      <c r="L158">
        <f t="shared" si="4"/>
        <v>2024</v>
      </c>
      <c r="M158">
        <f t="shared" si="5"/>
        <v>4</v>
      </c>
    </row>
    <row r="159" spans="1:13" ht="15" customHeight="1" x14ac:dyDescent="0.2">
      <c r="A159" s="3">
        <v>45599</v>
      </c>
      <c r="B159" t="s">
        <v>208</v>
      </c>
      <c r="C159" t="s">
        <v>31</v>
      </c>
      <c r="D159" t="s">
        <v>59</v>
      </c>
      <c r="E159" s="4">
        <v>1645</v>
      </c>
      <c r="F159" s="4">
        <v>164.5</v>
      </c>
      <c r="G159" s="4">
        <v>1418.1</v>
      </c>
      <c r="H159" s="4">
        <v>14.18</v>
      </c>
      <c r="I159" s="4">
        <v>113.45</v>
      </c>
      <c r="J159" s="4">
        <v>73</v>
      </c>
      <c r="K159" s="4">
        <v>1279.8699999999999</v>
      </c>
      <c r="L159">
        <f t="shared" si="4"/>
        <v>2024</v>
      </c>
      <c r="M159">
        <f t="shared" si="5"/>
        <v>4</v>
      </c>
    </row>
    <row r="160" spans="1:13" ht="15" customHeight="1" x14ac:dyDescent="0.2">
      <c r="A160" s="3">
        <v>45599</v>
      </c>
      <c r="B160" t="s">
        <v>209</v>
      </c>
      <c r="C160" t="s">
        <v>133</v>
      </c>
      <c r="D160" t="s">
        <v>85</v>
      </c>
      <c r="E160" s="4">
        <v>1084.23</v>
      </c>
      <c r="F160" s="4">
        <v>157.21</v>
      </c>
      <c r="G160" s="4">
        <v>934.68</v>
      </c>
      <c r="H160" s="4">
        <v>9.35</v>
      </c>
      <c r="I160" s="4">
        <v>74.77</v>
      </c>
      <c r="J160" s="4">
        <v>79.5</v>
      </c>
      <c r="K160" s="4">
        <v>763.4</v>
      </c>
      <c r="L160">
        <f t="shared" si="4"/>
        <v>2024</v>
      </c>
      <c r="M160">
        <f t="shared" si="5"/>
        <v>4</v>
      </c>
    </row>
    <row r="161" spans="1:13" ht="15" customHeight="1" x14ac:dyDescent="0.2">
      <c r="A161" s="3">
        <v>45599</v>
      </c>
      <c r="B161" t="s">
        <v>210</v>
      </c>
      <c r="C161" t="s">
        <v>31</v>
      </c>
      <c r="D161" t="s">
        <v>49</v>
      </c>
      <c r="E161" s="4">
        <v>1598.8</v>
      </c>
      <c r="F161" s="4">
        <v>231.83</v>
      </c>
      <c r="G161" s="4">
        <v>1378.28</v>
      </c>
      <c r="H161" s="4">
        <v>13.78</v>
      </c>
      <c r="I161" s="4">
        <v>110.26</v>
      </c>
      <c r="J161" s="4">
        <v>79.5</v>
      </c>
      <c r="K161" s="4">
        <v>1163.43</v>
      </c>
      <c r="L161">
        <f t="shared" si="4"/>
        <v>2024</v>
      </c>
      <c r="M161">
        <f t="shared" si="5"/>
        <v>4</v>
      </c>
    </row>
    <row r="162" spans="1:13" ht="15" customHeight="1" x14ac:dyDescent="0.2">
      <c r="A162" s="3">
        <v>45600</v>
      </c>
      <c r="B162" t="s">
        <v>211</v>
      </c>
      <c r="C162" t="s">
        <v>67</v>
      </c>
      <c r="D162" t="s">
        <v>93</v>
      </c>
      <c r="E162" s="4">
        <v>1759.12</v>
      </c>
      <c r="F162" s="4">
        <v>255.07</v>
      </c>
      <c r="G162" s="4">
        <v>1516.48</v>
      </c>
      <c r="H162" s="4">
        <v>15.16</v>
      </c>
      <c r="I162" s="4">
        <v>121.32</v>
      </c>
      <c r="J162" s="4">
        <v>73</v>
      </c>
      <c r="K162" s="4">
        <v>1294.56</v>
      </c>
      <c r="L162">
        <f t="shared" si="4"/>
        <v>2024</v>
      </c>
      <c r="M162">
        <f t="shared" si="5"/>
        <v>4</v>
      </c>
    </row>
    <row r="163" spans="1:13" ht="15" customHeight="1" x14ac:dyDescent="0.2">
      <c r="A163" s="3">
        <v>45600</v>
      </c>
      <c r="B163" t="s">
        <v>212</v>
      </c>
      <c r="C163" t="s">
        <v>31</v>
      </c>
      <c r="D163" t="s">
        <v>21</v>
      </c>
      <c r="E163" s="4">
        <v>1598.8</v>
      </c>
      <c r="F163" s="4">
        <v>231.83</v>
      </c>
      <c r="G163" s="4">
        <v>1378.28</v>
      </c>
      <c r="H163" s="4">
        <v>13.78</v>
      </c>
      <c r="I163" s="4">
        <v>110.26</v>
      </c>
      <c r="J163" s="4">
        <v>79.5</v>
      </c>
      <c r="K163" s="4">
        <v>1163.43</v>
      </c>
      <c r="L163">
        <f t="shared" si="4"/>
        <v>2024</v>
      </c>
      <c r="M163">
        <f t="shared" si="5"/>
        <v>4</v>
      </c>
    </row>
    <row r="164" spans="1:13" ht="15" customHeight="1" x14ac:dyDescent="0.2">
      <c r="A164" s="3">
        <v>45602</v>
      </c>
      <c r="B164" t="s">
        <v>213</v>
      </c>
      <c r="C164" t="s">
        <v>31</v>
      </c>
      <c r="D164" t="s">
        <v>49</v>
      </c>
      <c r="E164" s="4">
        <v>1598.8</v>
      </c>
      <c r="F164" s="4">
        <v>231.83</v>
      </c>
      <c r="G164" s="4">
        <v>1378.28</v>
      </c>
      <c r="H164" s="4">
        <v>13.78</v>
      </c>
      <c r="I164" s="4">
        <v>110.26</v>
      </c>
      <c r="J164" s="4">
        <v>79.5</v>
      </c>
      <c r="K164" s="4">
        <v>1163.43</v>
      </c>
      <c r="L164">
        <f t="shared" si="4"/>
        <v>2024</v>
      </c>
      <c r="M164">
        <f t="shared" si="5"/>
        <v>4</v>
      </c>
    </row>
    <row r="165" spans="1:13" ht="15" customHeight="1" x14ac:dyDescent="0.2">
      <c r="A165" s="3">
        <v>45607</v>
      </c>
      <c r="B165" t="s">
        <v>214</v>
      </c>
      <c r="C165" t="s">
        <v>74</v>
      </c>
      <c r="D165" t="s">
        <v>215</v>
      </c>
      <c r="E165" s="4">
        <v>1794.5</v>
      </c>
      <c r="F165" s="4">
        <v>260.2</v>
      </c>
      <c r="G165" s="4">
        <v>1546.98</v>
      </c>
      <c r="H165" s="4">
        <v>15.47</v>
      </c>
      <c r="I165" s="4">
        <v>123.76</v>
      </c>
      <c r="J165" s="4">
        <v>73</v>
      </c>
      <c r="K165" s="4">
        <v>1322.07</v>
      </c>
      <c r="L165">
        <f t="shared" si="4"/>
        <v>2024</v>
      </c>
      <c r="M165">
        <f t="shared" si="5"/>
        <v>4</v>
      </c>
    </row>
    <row r="166" spans="1:13" ht="15" customHeight="1" x14ac:dyDescent="0.2">
      <c r="A166" s="3">
        <v>45608</v>
      </c>
      <c r="B166" t="s">
        <v>216</v>
      </c>
      <c r="C166" t="s">
        <v>67</v>
      </c>
      <c r="D166" t="s">
        <v>24</v>
      </c>
      <c r="E166" s="4">
        <v>1759.12</v>
      </c>
      <c r="F166" s="4">
        <v>255.07</v>
      </c>
      <c r="G166" s="4">
        <v>1516.48</v>
      </c>
      <c r="H166" s="4">
        <v>15.16</v>
      </c>
      <c r="I166" s="4">
        <v>121.32</v>
      </c>
      <c r="J166" s="4">
        <v>73</v>
      </c>
      <c r="K166" s="4">
        <v>1294.56</v>
      </c>
      <c r="L166">
        <f t="shared" si="4"/>
        <v>2024</v>
      </c>
      <c r="M166">
        <f t="shared" si="5"/>
        <v>4</v>
      </c>
    </row>
    <row r="167" spans="1:13" ht="15" customHeight="1" x14ac:dyDescent="0.2">
      <c r="A167" s="3">
        <v>45608</v>
      </c>
      <c r="B167" t="s">
        <v>217</v>
      </c>
      <c r="C167" t="s">
        <v>31</v>
      </c>
      <c r="D167" t="s">
        <v>189</v>
      </c>
      <c r="E167" s="4">
        <v>1465</v>
      </c>
      <c r="F167" s="4">
        <v>146.5</v>
      </c>
      <c r="G167" s="4">
        <v>1262.93</v>
      </c>
      <c r="H167" s="4">
        <v>12.63</v>
      </c>
      <c r="I167" s="4">
        <v>101.03</v>
      </c>
      <c r="J167" s="4">
        <v>73</v>
      </c>
      <c r="K167" s="4">
        <v>1131.8399999999999</v>
      </c>
      <c r="L167">
        <f t="shared" si="4"/>
        <v>2024</v>
      </c>
      <c r="M167">
        <f t="shared" si="5"/>
        <v>4</v>
      </c>
    </row>
    <row r="168" spans="1:13" ht="15" customHeight="1" x14ac:dyDescent="0.2">
      <c r="A168" s="3">
        <v>45609</v>
      </c>
      <c r="B168" t="s">
        <v>218</v>
      </c>
      <c r="C168" t="s">
        <v>76</v>
      </c>
      <c r="D168" t="s">
        <v>77</v>
      </c>
      <c r="E168" s="4">
        <v>1600.75</v>
      </c>
      <c r="F168" s="4">
        <v>232.11</v>
      </c>
      <c r="G168" s="4">
        <v>1379.96</v>
      </c>
      <c r="H168" s="4">
        <v>13.8</v>
      </c>
      <c r="I168" s="4">
        <v>110.4</v>
      </c>
      <c r="J168" s="4">
        <v>73</v>
      </c>
      <c r="K168" s="4">
        <v>1171.45</v>
      </c>
      <c r="L168">
        <f t="shared" si="4"/>
        <v>2024</v>
      </c>
      <c r="M168">
        <f t="shared" si="5"/>
        <v>4</v>
      </c>
    </row>
    <row r="169" spans="1:13" ht="15" customHeight="1" x14ac:dyDescent="0.2">
      <c r="A169" s="3">
        <v>45610</v>
      </c>
      <c r="B169" t="s">
        <v>219</v>
      </c>
      <c r="C169" t="s">
        <v>31</v>
      </c>
      <c r="D169" t="s">
        <v>59</v>
      </c>
      <c r="E169" s="4">
        <v>1501</v>
      </c>
      <c r="F169" s="4">
        <v>217.65</v>
      </c>
      <c r="G169" s="4">
        <v>1293.97</v>
      </c>
      <c r="H169" s="4">
        <v>12.94</v>
      </c>
      <c r="I169" s="4">
        <v>103.52</v>
      </c>
      <c r="J169" s="4">
        <v>79.5</v>
      </c>
      <c r="K169" s="4">
        <v>1087.4000000000001</v>
      </c>
      <c r="L169">
        <f t="shared" si="4"/>
        <v>2024</v>
      </c>
      <c r="M169">
        <f t="shared" si="5"/>
        <v>4</v>
      </c>
    </row>
    <row r="170" spans="1:13" ht="15" customHeight="1" x14ac:dyDescent="0.2">
      <c r="A170" s="3">
        <v>45610</v>
      </c>
      <c r="B170" t="s">
        <v>220</v>
      </c>
      <c r="C170" t="s">
        <v>131</v>
      </c>
      <c r="D170" t="s">
        <v>77</v>
      </c>
      <c r="E170" s="4">
        <v>1654</v>
      </c>
      <c r="F170" s="4">
        <v>165.4</v>
      </c>
      <c r="G170" s="4">
        <v>1425.86</v>
      </c>
      <c r="H170" s="4">
        <v>14.26</v>
      </c>
      <c r="I170" s="4">
        <v>114.07</v>
      </c>
      <c r="J170" s="4">
        <v>79.5</v>
      </c>
      <c r="K170" s="4">
        <v>1280.77</v>
      </c>
      <c r="L170">
        <f t="shared" si="4"/>
        <v>2024</v>
      </c>
      <c r="M170">
        <f t="shared" si="5"/>
        <v>4</v>
      </c>
    </row>
    <row r="171" spans="1:13" ht="15" customHeight="1" x14ac:dyDescent="0.2">
      <c r="A171" s="3">
        <v>45611</v>
      </c>
      <c r="B171" t="s">
        <v>221</v>
      </c>
      <c r="C171" t="s">
        <v>31</v>
      </c>
      <c r="D171" t="s">
        <v>29</v>
      </c>
      <c r="E171" s="4">
        <v>1499</v>
      </c>
      <c r="F171" s="4">
        <v>217.36</v>
      </c>
      <c r="G171" s="4">
        <v>1292.24</v>
      </c>
      <c r="H171" s="4">
        <v>12.92</v>
      </c>
      <c r="I171" s="4">
        <v>103.38</v>
      </c>
      <c r="J171" s="4">
        <v>79.5</v>
      </c>
      <c r="K171" s="4">
        <v>1085.8399999999999</v>
      </c>
      <c r="L171">
        <f t="shared" si="4"/>
        <v>2024</v>
      </c>
      <c r="M171">
        <f t="shared" si="5"/>
        <v>4</v>
      </c>
    </row>
    <row r="172" spans="1:13" ht="15" customHeight="1" x14ac:dyDescent="0.2">
      <c r="A172" s="3">
        <v>45611</v>
      </c>
      <c r="B172" t="s">
        <v>222</v>
      </c>
      <c r="C172" t="s">
        <v>31</v>
      </c>
      <c r="D172" t="s">
        <v>93</v>
      </c>
      <c r="E172" s="4">
        <v>1465</v>
      </c>
      <c r="F172" s="4">
        <v>146.5</v>
      </c>
      <c r="G172" s="4">
        <v>1262.93</v>
      </c>
      <c r="H172" s="4">
        <v>12.63</v>
      </c>
      <c r="I172" s="4">
        <v>101.03</v>
      </c>
      <c r="J172" s="4">
        <v>73</v>
      </c>
      <c r="K172" s="4">
        <v>1131.8399999999999</v>
      </c>
      <c r="L172">
        <f t="shared" si="4"/>
        <v>2024</v>
      </c>
      <c r="M172">
        <f t="shared" si="5"/>
        <v>4</v>
      </c>
    </row>
    <row r="173" spans="1:13" ht="15" customHeight="1" x14ac:dyDescent="0.2">
      <c r="A173" s="3">
        <v>45611</v>
      </c>
      <c r="B173" t="s">
        <v>223</v>
      </c>
      <c r="C173" t="s">
        <v>52</v>
      </c>
      <c r="D173" t="s">
        <v>27</v>
      </c>
      <c r="E173" s="4">
        <v>299</v>
      </c>
      <c r="F173" s="4">
        <v>58.31</v>
      </c>
      <c r="G173" s="4">
        <v>257.76</v>
      </c>
      <c r="H173" s="4">
        <v>2.58</v>
      </c>
      <c r="I173" s="4">
        <v>20.62</v>
      </c>
      <c r="J173" s="4">
        <v>76</v>
      </c>
      <c r="K173" s="4">
        <v>141.5</v>
      </c>
      <c r="L173">
        <f t="shared" si="4"/>
        <v>2024</v>
      </c>
      <c r="M173">
        <f t="shared" si="5"/>
        <v>4</v>
      </c>
    </row>
    <row r="174" spans="1:13" ht="15" customHeight="1" x14ac:dyDescent="0.2">
      <c r="A174" s="3">
        <v>45612</v>
      </c>
      <c r="B174" t="s">
        <v>224</v>
      </c>
      <c r="C174" t="s">
        <v>31</v>
      </c>
      <c r="D174" t="s">
        <v>53</v>
      </c>
      <c r="E174" s="4">
        <v>1499</v>
      </c>
      <c r="F174" s="4">
        <v>217.36</v>
      </c>
      <c r="G174" s="4">
        <v>1292.24</v>
      </c>
      <c r="H174" s="4">
        <v>12.92</v>
      </c>
      <c r="I174" s="4">
        <v>103.38</v>
      </c>
      <c r="J174" s="4">
        <v>79.5</v>
      </c>
      <c r="K174" s="4">
        <v>1085.8399999999999</v>
      </c>
      <c r="L174">
        <f t="shared" si="4"/>
        <v>2024</v>
      </c>
      <c r="M174">
        <f t="shared" si="5"/>
        <v>4</v>
      </c>
    </row>
    <row r="175" spans="1:13" ht="15" customHeight="1" x14ac:dyDescent="0.2">
      <c r="A175" s="3">
        <v>45613</v>
      </c>
      <c r="B175" t="s">
        <v>225</v>
      </c>
      <c r="C175" t="s">
        <v>76</v>
      </c>
      <c r="D175" t="s">
        <v>93</v>
      </c>
      <c r="E175" s="4">
        <v>1621.81</v>
      </c>
      <c r="F175" s="4">
        <v>235.16</v>
      </c>
      <c r="G175" s="4">
        <v>1398.11</v>
      </c>
      <c r="H175" s="4">
        <v>13.98</v>
      </c>
      <c r="I175" s="4">
        <v>111.85</v>
      </c>
      <c r="J175" s="4">
        <v>73</v>
      </c>
      <c r="K175" s="4">
        <v>1187.82</v>
      </c>
      <c r="L175">
        <f t="shared" si="4"/>
        <v>2024</v>
      </c>
      <c r="M175">
        <f t="shared" si="5"/>
        <v>4</v>
      </c>
    </row>
    <row r="176" spans="1:13" ht="15" customHeight="1" x14ac:dyDescent="0.2">
      <c r="A176" s="3">
        <v>45614</v>
      </c>
      <c r="B176" t="s">
        <v>226</v>
      </c>
      <c r="C176" t="s">
        <v>31</v>
      </c>
      <c r="D176" t="s">
        <v>38</v>
      </c>
      <c r="E176" s="4">
        <v>1381</v>
      </c>
      <c r="F176" s="4">
        <v>200.25</v>
      </c>
      <c r="G176" s="4">
        <v>1190.52</v>
      </c>
      <c r="H176" s="4">
        <v>11.91</v>
      </c>
      <c r="I176" s="4">
        <v>95.24</v>
      </c>
      <c r="J176" s="4">
        <v>79.5</v>
      </c>
      <c r="K176" s="4">
        <v>994.11</v>
      </c>
      <c r="L176">
        <f t="shared" si="4"/>
        <v>2024</v>
      </c>
      <c r="M176">
        <f t="shared" si="5"/>
        <v>4</v>
      </c>
    </row>
    <row r="177" spans="1:13" ht="15" customHeight="1" x14ac:dyDescent="0.2">
      <c r="A177" s="3">
        <v>45615</v>
      </c>
      <c r="B177" t="s">
        <v>227</v>
      </c>
      <c r="C177" t="s">
        <v>31</v>
      </c>
      <c r="D177" t="s">
        <v>21</v>
      </c>
      <c r="E177" s="4">
        <v>1381</v>
      </c>
      <c r="F177" s="4">
        <v>200.25</v>
      </c>
      <c r="G177" s="4">
        <v>1190.52</v>
      </c>
      <c r="H177" s="4">
        <v>11.91</v>
      </c>
      <c r="I177" s="4">
        <v>95.24</v>
      </c>
      <c r="J177" s="4">
        <v>79.5</v>
      </c>
      <c r="K177" s="4">
        <v>994.11</v>
      </c>
      <c r="L177">
        <f t="shared" si="4"/>
        <v>2024</v>
      </c>
      <c r="M177">
        <f t="shared" si="5"/>
        <v>4</v>
      </c>
    </row>
    <row r="178" spans="1:13" ht="15" customHeight="1" x14ac:dyDescent="0.2">
      <c r="A178" s="3">
        <v>45616</v>
      </c>
      <c r="B178" t="s">
        <v>228</v>
      </c>
      <c r="C178" t="s">
        <v>74</v>
      </c>
      <c r="D178" t="s">
        <v>33</v>
      </c>
      <c r="E178" s="4">
        <v>1548.98</v>
      </c>
      <c r="F178" s="4">
        <v>224.6</v>
      </c>
      <c r="G178" s="4">
        <v>1335.33</v>
      </c>
      <c r="H178" s="4">
        <v>13.35</v>
      </c>
      <c r="I178" s="4">
        <v>106.83</v>
      </c>
      <c r="J178" s="4">
        <v>87.6</v>
      </c>
      <c r="K178" s="4">
        <v>1116.5999999999999</v>
      </c>
      <c r="L178">
        <f t="shared" si="4"/>
        <v>2024</v>
      </c>
      <c r="M178">
        <f t="shared" si="5"/>
        <v>4</v>
      </c>
    </row>
    <row r="179" spans="1:13" ht="15" customHeight="1" x14ac:dyDescent="0.2">
      <c r="A179" s="3">
        <v>45616</v>
      </c>
      <c r="B179" t="s">
        <v>229</v>
      </c>
      <c r="C179" t="s">
        <v>74</v>
      </c>
      <c r="D179" t="s">
        <v>38</v>
      </c>
      <c r="E179" s="4">
        <v>1548.98</v>
      </c>
      <c r="F179" s="4">
        <v>224.6</v>
      </c>
      <c r="G179" s="4">
        <v>1335.33</v>
      </c>
      <c r="H179" s="4">
        <v>13.35</v>
      </c>
      <c r="I179" s="4">
        <v>106.83</v>
      </c>
      <c r="J179" s="4">
        <v>87.6</v>
      </c>
      <c r="K179" s="4">
        <v>1116.5999999999999</v>
      </c>
      <c r="L179">
        <f t="shared" si="4"/>
        <v>2024</v>
      </c>
      <c r="M179">
        <f t="shared" si="5"/>
        <v>4</v>
      </c>
    </row>
    <row r="180" spans="1:13" ht="15" customHeight="1" x14ac:dyDescent="0.2">
      <c r="A180" s="3">
        <v>45619</v>
      </c>
      <c r="B180" t="s">
        <v>230</v>
      </c>
      <c r="C180" t="s">
        <v>67</v>
      </c>
      <c r="D180" t="s">
        <v>38</v>
      </c>
      <c r="E180" s="4">
        <v>1639.18</v>
      </c>
      <c r="F180" s="4">
        <v>237.68</v>
      </c>
      <c r="G180" s="4">
        <v>1413.09</v>
      </c>
      <c r="H180" s="4">
        <v>14.13</v>
      </c>
      <c r="I180" s="4">
        <v>113.05</v>
      </c>
      <c r="J180" s="4">
        <v>87.6</v>
      </c>
      <c r="K180" s="4">
        <v>1186.72</v>
      </c>
      <c r="L180">
        <f t="shared" si="4"/>
        <v>2024</v>
      </c>
      <c r="M180">
        <f t="shared" si="5"/>
        <v>4</v>
      </c>
    </row>
    <row r="181" spans="1:13" ht="15" customHeight="1" x14ac:dyDescent="0.2">
      <c r="A181" s="3">
        <v>45619</v>
      </c>
      <c r="B181" t="s">
        <v>231</v>
      </c>
      <c r="C181" t="s">
        <v>74</v>
      </c>
      <c r="D181" t="s">
        <v>232</v>
      </c>
      <c r="E181" s="4">
        <v>1548.98</v>
      </c>
      <c r="F181" s="4">
        <v>224.6</v>
      </c>
      <c r="G181" s="4">
        <v>1335.33</v>
      </c>
      <c r="H181" s="4">
        <v>13.35</v>
      </c>
      <c r="I181" s="4">
        <v>106.83</v>
      </c>
      <c r="J181" s="4">
        <v>87.6</v>
      </c>
      <c r="K181" s="4">
        <v>1116.5999999999999</v>
      </c>
      <c r="L181">
        <f t="shared" si="4"/>
        <v>2024</v>
      </c>
      <c r="M181">
        <f t="shared" si="5"/>
        <v>4</v>
      </c>
    </row>
    <row r="182" spans="1:13" ht="15" customHeight="1" x14ac:dyDescent="0.2">
      <c r="A182" s="3">
        <v>45619</v>
      </c>
      <c r="B182" t="s">
        <v>233</v>
      </c>
      <c r="C182" t="s">
        <v>31</v>
      </c>
      <c r="D182" t="s">
        <v>21</v>
      </c>
      <c r="E182" s="4">
        <v>1381</v>
      </c>
      <c r="F182" s="4">
        <v>200.25</v>
      </c>
      <c r="G182" s="4">
        <v>1190.52</v>
      </c>
      <c r="H182" s="4">
        <v>11.91</v>
      </c>
      <c r="I182" s="4">
        <v>95.24</v>
      </c>
      <c r="J182" s="4">
        <v>95.4</v>
      </c>
      <c r="K182" s="4">
        <v>978.21</v>
      </c>
      <c r="L182">
        <f t="shared" si="4"/>
        <v>2024</v>
      </c>
      <c r="M182">
        <f t="shared" si="5"/>
        <v>4</v>
      </c>
    </row>
    <row r="183" spans="1:13" ht="15" customHeight="1" x14ac:dyDescent="0.2">
      <c r="A183" s="3">
        <v>45620</v>
      </c>
      <c r="B183" t="s">
        <v>124</v>
      </c>
      <c r="C183" t="s">
        <v>234</v>
      </c>
      <c r="D183" t="s">
        <v>38</v>
      </c>
      <c r="E183" s="4">
        <v>1500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1500</v>
      </c>
      <c r="L183">
        <f t="shared" si="4"/>
        <v>2024</v>
      </c>
      <c r="M183">
        <f t="shared" si="5"/>
        <v>4</v>
      </c>
    </row>
    <row r="184" spans="1:13" ht="15" customHeight="1" x14ac:dyDescent="0.2">
      <c r="A184" s="3">
        <v>45620</v>
      </c>
      <c r="B184" t="s">
        <v>235</v>
      </c>
      <c r="C184" t="s">
        <v>115</v>
      </c>
      <c r="D184" t="s">
        <v>33</v>
      </c>
      <c r="E184" s="4">
        <v>1621.81</v>
      </c>
      <c r="F184" s="4">
        <v>235.16</v>
      </c>
      <c r="G184" s="4">
        <v>1398.11</v>
      </c>
      <c r="H184" s="4">
        <v>13.98</v>
      </c>
      <c r="I184" s="4">
        <v>111.85</v>
      </c>
      <c r="J184" s="4">
        <v>87.6</v>
      </c>
      <c r="K184" s="4">
        <v>1173.22</v>
      </c>
      <c r="L184">
        <f t="shared" si="4"/>
        <v>2024</v>
      </c>
      <c r="M184">
        <f t="shared" si="5"/>
        <v>4</v>
      </c>
    </row>
    <row r="185" spans="1:13" ht="15" customHeight="1" x14ac:dyDescent="0.2">
      <c r="A185" s="3">
        <v>45621</v>
      </c>
      <c r="B185" t="s">
        <v>236</v>
      </c>
      <c r="C185" t="s">
        <v>31</v>
      </c>
      <c r="D185" t="s">
        <v>81</v>
      </c>
      <c r="E185" s="4">
        <v>1380</v>
      </c>
      <c r="F185" s="4">
        <v>200.1</v>
      </c>
      <c r="G185" s="4">
        <v>1189.6600000000001</v>
      </c>
      <c r="H185" s="4">
        <v>11.9</v>
      </c>
      <c r="I185" s="4">
        <v>95.17</v>
      </c>
      <c r="J185" s="4">
        <v>73</v>
      </c>
      <c r="K185" s="4">
        <v>999.83</v>
      </c>
      <c r="L185">
        <f t="shared" si="4"/>
        <v>2024</v>
      </c>
      <c r="M185">
        <f t="shared" si="5"/>
        <v>4</v>
      </c>
    </row>
    <row r="186" spans="1:13" ht="15" customHeight="1" x14ac:dyDescent="0.2">
      <c r="A186" s="3">
        <v>45622</v>
      </c>
      <c r="B186" t="s">
        <v>237</v>
      </c>
      <c r="C186" t="s">
        <v>238</v>
      </c>
      <c r="D186" t="s">
        <v>93</v>
      </c>
      <c r="E186" s="4">
        <v>534</v>
      </c>
      <c r="F186" s="4">
        <v>272.16000000000003</v>
      </c>
      <c r="G186" s="4">
        <v>460.34</v>
      </c>
      <c r="H186" s="4">
        <v>4.5999999999999996</v>
      </c>
      <c r="I186" s="4">
        <v>36.83</v>
      </c>
      <c r="J186" s="4">
        <v>0</v>
      </c>
      <c r="K186" s="4">
        <v>220.41</v>
      </c>
      <c r="L186">
        <f t="shared" si="4"/>
        <v>2024</v>
      </c>
      <c r="M186">
        <f t="shared" si="5"/>
        <v>4</v>
      </c>
    </row>
    <row r="187" spans="1:13" ht="15" customHeight="1" x14ac:dyDescent="0.2">
      <c r="A187" s="3">
        <v>45622</v>
      </c>
      <c r="B187" t="s">
        <v>237</v>
      </c>
      <c r="C187" t="s">
        <v>239</v>
      </c>
      <c r="D187" t="s">
        <v>93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>
        <f t="shared" si="4"/>
        <v>2024</v>
      </c>
      <c r="M187">
        <f t="shared" si="5"/>
        <v>4</v>
      </c>
    </row>
    <row r="188" spans="1:13" ht="15" customHeight="1" x14ac:dyDescent="0.2">
      <c r="A188" s="3">
        <v>45622</v>
      </c>
      <c r="B188" t="s">
        <v>237</v>
      </c>
      <c r="C188" t="s">
        <v>26</v>
      </c>
      <c r="D188" t="s">
        <v>93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>
        <f t="shared" si="4"/>
        <v>2024</v>
      </c>
      <c r="M188">
        <f t="shared" si="5"/>
        <v>4</v>
      </c>
    </row>
    <row r="189" spans="1:13" ht="15" customHeight="1" x14ac:dyDescent="0.2">
      <c r="A189" s="3">
        <v>45622</v>
      </c>
      <c r="B189" t="s">
        <v>237</v>
      </c>
      <c r="C189" t="s">
        <v>240</v>
      </c>
      <c r="D189" t="s">
        <v>93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>
        <f t="shared" si="4"/>
        <v>2024</v>
      </c>
      <c r="M189">
        <f t="shared" si="5"/>
        <v>4</v>
      </c>
    </row>
    <row r="190" spans="1:13" ht="15" customHeight="1" x14ac:dyDescent="0.2">
      <c r="A190" s="3">
        <v>45622</v>
      </c>
      <c r="B190" t="s">
        <v>237</v>
      </c>
      <c r="C190" t="s">
        <v>241</v>
      </c>
      <c r="D190" t="s">
        <v>93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>
        <f t="shared" si="4"/>
        <v>2024</v>
      </c>
      <c r="M190">
        <f t="shared" si="5"/>
        <v>4</v>
      </c>
    </row>
    <row r="191" spans="1:13" ht="15" customHeight="1" x14ac:dyDescent="0.2">
      <c r="A191" s="3">
        <v>45622</v>
      </c>
      <c r="B191" t="s">
        <v>237</v>
      </c>
      <c r="C191" t="s">
        <v>242</v>
      </c>
      <c r="D191" t="s">
        <v>93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>
        <f t="shared" si="4"/>
        <v>2024</v>
      </c>
      <c r="M191">
        <f t="shared" si="5"/>
        <v>4</v>
      </c>
    </row>
    <row r="192" spans="1:13" ht="15" customHeight="1" x14ac:dyDescent="0.2">
      <c r="A192" s="3">
        <v>45623</v>
      </c>
      <c r="B192" t="s">
        <v>243</v>
      </c>
      <c r="C192" t="s">
        <v>90</v>
      </c>
      <c r="D192" t="s">
        <v>93</v>
      </c>
      <c r="E192" s="4">
        <v>299</v>
      </c>
      <c r="F192" s="4">
        <v>43.36</v>
      </c>
      <c r="G192" s="4">
        <v>257.76</v>
      </c>
      <c r="H192" s="4">
        <v>2.58</v>
      </c>
      <c r="I192" s="4">
        <v>20.62</v>
      </c>
      <c r="J192" s="4">
        <v>63.6</v>
      </c>
      <c r="K192" s="4">
        <v>168.85</v>
      </c>
      <c r="L192">
        <f t="shared" si="4"/>
        <v>2024</v>
      </c>
      <c r="M192">
        <f t="shared" si="5"/>
        <v>4</v>
      </c>
    </row>
    <row r="193" spans="1:13" ht="15" customHeight="1" x14ac:dyDescent="0.2">
      <c r="A193" s="3">
        <v>45624</v>
      </c>
      <c r="B193" t="s">
        <v>145</v>
      </c>
      <c r="C193" t="s">
        <v>115</v>
      </c>
      <c r="D193" t="s">
        <v>53</v>
      </c>
      <c r="E193" s="4">
        <v>1384</v>
      </c>
      <c r="F193" s="4">
        <v>200.68</v>
      </c>
      <c r="G193" s="4">
        <v>1193.0999999999999</v>
      </c>
      <c r="H193" s="4">
        <v>11.93</v>
      </c>
      <c r="I193" s="4">
        <v>95.45</v>
      </c>
      <c r="J193" s="4">
        <v>73</v>
      </c>
      <c r="K193" s="4">
        <v>1002.94</v>
      </c>
      <c r="L193">
        <f t="shared" si="4"/>
        <v>2024</v>
      </c>
      <c r="M193">
        <f t="shared" si="5"/>
        <v>4</v>
      </c>
    </row>
    <row r="194" spans="1:13" ht="15" customHeight="1" x14ac:dyDescent="0.2">
      <c r="A194" s="3">
        <v>45624</v>
      </c>
      <c r="B194" t="s">
        <v>244</v>
      </c>
      <c r="C194" t="s">
        <v>26</v>
      </c>
      <c r="D194" t="s">
        <v>33</v>
      </c>
      <c r="E194" s="4">
        <v>89</v>
      </c>
      <c r="F194" s="4">
        <v>45.36</v>
      </c>
      <c r="G194" s="4">
        <v>76.72</v>
      </c>
      <c r="H194" s="4">
        <v>0.77</v>
      </c>
      <c r="I194" s="4">
        <v>6.14</v>
      </c>
      <c r="J194" s="4">
        <v>0</v>
      </c>
      <c r="K194" s="4">
        <v>36.729999999999997</v>
      </c>
      <c r="L194">
        <f t="shared" ref="L194:L257" si="6">YEAR(A194)</f>
        <v>2024</v>
      </c>
      <c r="M194">
        <f t="shared" ref="M194:M257" si="7">ROUNDUP(MONTH(A194)/3,0)</f>
        <v>4</v>
      </c>
    </row>
    <row r="195" spans="1:13" ht="15" customHeight="1" x14ac:dyDescent="0.2">
      <c r="A195" s="3">
        <v>45625</v>
      </c>
      <c r="B195" t="s">
        <v>245</v>
      </c>
      <c r="C195" t="s">
        <v>31</v>
      </c>
      <c r="D195" t="s">
        <v>77</v>
      </c>
      <c r="E195" s="4">
        <v>1300</v>
      </c>
      <c r="F195" s="4">
        <v>188.5</v>
      </c>
      <c r="G195" s="4">
        <v>1120.69</v>
      </c>
      <c r="H195" s="4">
        <v>11.21</v>
      </c>
      <c r="I195" s="4">
        <v>89.66</v>
      </c>
      <c r="J195" s="4">
        <v>73</v>
      </c>
      <c r="K195" s="4">
        <v>937.64</v>
      </c>
      <c r="L195">
        <f t="shared" si="6"/>
        <v>2024</v>
      </c>
      <c r="M195">
        <f t="shared" si="7"/>
        <v>4</v>
      </c>
    </row>
    <row r="196" spans="1:13" ht="15" customHeight="1" x14ac:dyDescent="0.2">
      <c r="A196" s="3">
        <v>45627</v>
      </c>
      <c r="B196" t="s">
        <v>246</v>
      </c>
      <c r="C196" t="s">
        <v>90</v>
      </c>
      <c r="D196" t="s">
        <v>143</v>
      </c>
      <c r="E196" s="4">
        <v>299</v>
      </c>
      <c r="F196" s="4">
        <v>43.36</v>
      </c>
      <c r="G196" s="4">
        <v>257.76</v>
      </c>
      <c r="H196" s="4">
        <v>2.58</v>
      </c>
      <c r="I196" s="4">
        <v>20.62</v>
      </c>
      <c r="J196" s="4">
        <v>63.6</v>
      </c>
      <c r="K196" s="4">
        <v>168.85</v>
      </c>
      <c r="L196">
        <f t="shared" si="6"/>
        <v>2024</v>
      </c>
      <c r="M196">
        <f t="shared" si="7"/>
        <v>4</v>
      </c>
    </row>
    <row r="197" spans="1:13" ht="15" customHeight="1" x14ac:dyDescent="0.2">
      <c r="A197" s="3">
        <v>45627</v>
      </c>
      <c r="B197" t="s">
        <v>247</v>
      </c>
      <c r="C197" t="s">
        <v>67</v>
      </c>
      <c r="D197" t="s">
        <v>143</v>
      </c>
      <c r="E197" s="4">
        <v>1499</v>
      </c>
      <c r="F197" s="4">
        <v>217.36</v>
      </c>
      <c r="G197" s="4">
        <v>1292.24</v>
      </c>
      <c r="H197" s="4">
        <v>12.92</v>
      </c>
      <c r="I197" s="4">
        <v>103.38</v>
      </c>
      <c r="J197" s="4">
        <v>79.5</v>
      </c>
      <c r="K197" s="4">
        <v>1085.8399999999999</v>
      </c>
      <c r="L197">
        <f t="shared" si="6"/>
        <v>2024</v>
      </c>
      <c r="M197">
        <f t="shared" si="7"/>
        <v>4</v>
      </c>
    </row>
    <row r="198" spans="1:13" ht="15" customHeight="1" x14ac:dyDescent="0.2">
      <c r="A198" s="3">
        <v>45627</v>
      </c>
      <c r="B198" t="s">
        <v>124</v>
      </c>
      <c r="C198" t="s">
        <v>90</v>
      </c>
      <c r="D198" t="s">
        <v>38</v>
      </c>
      <c r="E198" s="4">
        <v>150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150</v>
      </c>
      <c r="L198">
        <f t="shared" si="6"/>
        <v>2024</v>
      </c>
      <c r="M198">
        <f t="shared" si="7"/>
        <v>4</v>
      </c>
    </row>
    <row r="199" spans="1:13" ht="15" customHeight="1" x14ac:dyDescent="0.2">
      <c r="A199" s="3">
        <v>45628</v>
      </c>
      <c r="B199" t="s">
        <v>248</v>
      </c>
      <c r="C199" t="s">
        <v>67</v>
      </c>
      <c r="D199" t="s">
        <v>56</v>
      </c>
      <c r="E199" s="4">
        <v>1481.25</v>
      </c>
      <c r="F199" s="4">
        <v>214.78</v>
      </c>
      <c r="G199" s="4">
        <v>1276.94</v>
      </c>
      <c r="H199" s="4">
        <v>12.77</v>
      </c>
      <c r="I199" s="4">
        <v>102.16</v>
      </c>
      <c r="J199" s="4">
        <v>73</v>
      </c>
      <c r="K199" s="4">
        <v>1078.54</v>
      </c>
      <c r="L199">
        <f t="shared" si="6"/>
        <v>2024</v>
      </c>
      <c r="M199">
        <f t="shared" si="7"/>
        <v>4</v>
      </c>
    </row>
    <row r="200" spans="1:13" ht="15" customHeight="1" x14ac:dyDescent="0.2">
      <c r="A200" s="3">
        <v>45628</v>
      </c>
      <c r="B200" t="s">
        <v>249</v>
      </c>
      <c r="C200" t="s">
        <v>115</v>
      </c>
      <c r="D200" t="s">
        <v>49</v>
      </c>
      <c r="E200" s="4">
        <v>1339</v>
      </c>
      <c r="F200" s="4">
        <v>194.16</v>
      </c>
      <c r="G200" s="4">
        <v>1154.31</v>
      </c>
      <c r="H200" s="4">
        <v>11.54</v>
      </c>
      <c r="I200" s="4">
        <v>92.34</v>
      </c>
      <c r="J200" s="4">
        <v>73</v>
      </c>
      <c r="K200" s="4">
        <v>967.96</v>
      </c>
      <c r="L200">
        <f t="shared" si="6"/>
        <v>2024</v>
      </c>
      <c r="M200">
        <f t="shared" si="7"/>
        <v>4</v>
      </c>
    </row>
    <row r="201" spans="1:13" ht="15" customHeight="1" x14ac:dyDescent="0.2">
      <c r="A201" s="3">
        <v>45628</v>
      </c>
      <c r="B201" t="s">
        <v>250</v>
      </c>
      <c r="C201" t="s">
        <v>90</v>
      </c>
      <c r="D201" t="s">
        <v>21</v>
      </c>
      <c r="E201" s="4">
        <v>299</v>
      </c>
      <c r="F201" s="4">
        <v>43.36</v>
      </c>
      <c r="G201" s="4">
        <v>257.76</v>
      </c>
      <c r="H201" s="4">
        <v>2.58</v>
      </c>
      <c r="I201" s="4">
        <v>20.62</v>
      </c>
      <c r="J201" s="4">
        <v>63</v>
      </c>
      <c r="K201" s="4">
        <v>169.45</v>
      </c>
      <c r="L201">
        <f t="shared" si="6"/>
        <v>2024</v>
      </c>
      <c r="M201">
        <f t="shared" si="7"/>
        <v>4</v>
      </c>
    </row>
    <row r="202" spans="1:13" ht="15" customHeight="1" x14ac:dyDescent="0.2">
      <c r="A202" s="3">
        <v>45628</v>
      </c>
      <c r="B202" t="s">
        <v>251</v>
      </c>
      <c r="C202" t="s">
        <v>115</v>
      </c>
      <c r="D202" t="s">
        <v>53</v>
      </c>
      <c r="E202" s="4">
        <v>1339</v>
      </c>
      <c r="F202" s="4">
        <v>194.16</v>
      </c>
      <c r="G202" s="4">
        <v>1154.31</v>
      </c>
      <c r="H202" s="4">
        <v>11.54</v>
      </c>
      <c r="I202" s="4">
        <v>92.34</v>
      </c>
      <c r="J202" s="4">
        <v>73</v>
      </c>
      <c r="K202" s="4">
        <v>967.96</v>
      </c>
      <c r="L202">
        <f t="shared" si="6"/>
        <v>2024</v>
      </c>
      <c r="M202">
        <f t="shared" si="7"/>
        <v>4</v>
      </c>
    </row>
    <row r="203" spans="1:13" ht="15" customHeight="1" x14ac:dyDescent="0.2">
      <c r="A203" s="3">
        <v>45628</v>
      </c>
      <c r="B203" t="s">
        <v>252</v>
      </c>
      <c r="C203" t="s">
        <v>253</v>
      </c>
      <c r="D203" t="s">
        <v>40</v>
      </c>
      <c r="E203" s="4">
        <v>349</v>
      </c>
      <c r="F203" s="4">
        <v>68.06</v>
      </c>
      <c r="G203" s="4">
        <v>300.86</v>
      </c>
      <c r="H203" s="4">
        <v>3.01</v>
      </c>
      <c r="I203" s="4">
        <v>24.07</v>
      </c>
      <c r="J203" s="4">
        <v>63.6</v>
      </c>
      <c r="K203" s="4">
        <v>190.27</v>
      </c>
      <c r="L203">
        <f t="shared" si="6"/>
        <v>2024</v>
      </c>
      <c r="M203">
        <f t="shared" si="7"/>
        <v>4</v>
      </c>
    </row>
    <row r="204" spans="1:13" ht="15" customHeight="1" x14ac:dyDescent="0.2">
      <c r="A204" s="3">
        <v>45629</v>
      </c>
      <c r="B204" t="s">
        <v>254</v>
      </c>
      <c r="C204" t="s">
        <v>123</v>
      </c>
      <c r="D204" t="s">
        <v>33</v>
      </c>
      <c r="E204" s="4">
        <v>299</v>
      </c>
      <c r="F204" s="4">
        <v>58.31</v>
      </c>
      <c r="G204" s="4">
        <v>257.76</v>
      </c>
      <c r="H204" s="4">
        <v>2.58</v>
      </c>
      <c r="I204" s="4">
        <v>20.62</v>
      </c>
      <c r="J204" s="4">
        <v>76</v>
      </c>
      <c r="K204" s="4">
        <v>141.5</v>
      </c>
      <c r="L204">
        <f t="shared" si="6"/>
        <v>2024</v>
      </c>
      <c r="M204">
        <f t="shared" si="7"/>
        <v>4</v>
      </c>
    </row>
    <row r="205" spans="1:13" ht="15" customHeight="1" x14ac:dyDescent="0.2">
      <c r="A205" s="3">
        <v>45629</v>
      </c>
      <c r="B205" t="s">
        <v>255</v>
      </c>
      <c r="C205" t="s">
        <v>67</v>
      </c>
      <c r="D205" t="s">
        <v>189</v>
      </c>
      <c r="E205" s="4">
        <v>1499</v>
      </c>
      <c r="F205" s="4">
        <v>217.36</v>
      </c>
      <c r="G205" s="4">
        <v>1292.24</v>
      </c>
      <c r="H205" s="4">
        <v>12.92</v>
      </c>
      <c r="I205" s="4">
        <v>103.38</v>
      </c>
      <c r="J205" s="4">
        <v>73</v>
      </c>
      <c r="K205" s="4">
        <v>1092.3399999999999</v>
      </c>
      <c r="L205">
        <f t="shared" si="6"/>
        <v>2024</v>
      </c>
      <c r="M205">
        <f t="shared" si="7"/>
        <v>4</v>
      </c>
    </row>
    <row r="206" spans="1:13" ht="15" customHeight="1" x14ac:dyDescent="0.2">
      <c r="A206" s="3">
        <v>45629</v>
      </c>
      <c r="B206" t="s">
        <v>256</v>
      </c>
      <c r="C206" t="s">
        <v>92</v>
      </c>
      <c r="D206" t="s">
        <v>81</v>
      </c>
      <c r="E206" s="4">
        <v>598</v>
      </c>
      <c r="F206" s="4">
        <v>116.6</v>
      </c>
      <c r="G206" s="4">
        <v>515.52</v>
      </c>
      <c r="H206" s="4">
        <v>5.16</v>
      </c>
      <c r="I206" s="4">
        <v>41.24</v>
      </c>
      <c r="J206" s="4">
        <v>156</v>
      </c>
      <c r="K206" s="4">
        <v>279</v>
      </c>
      <c r="L206">
        <f t="shared" si="6"/>
        <v>2024</v>
      </c>
      <c r="M206">
        <f t="shared" si="7"/>
        <v>4</v>
      </c>
    </row>
    <row r="207" spans="1:13" ht="15" customHeight="1" x14ac:dyDescent="0.2">
      <c r="A207" s="3">
        <v>45629</v>
      </c>
      <c r="B207" t="s">
        <v>256</v>
      </c>
      <c r="C207" t="s">
        <v>52</v>
      </c>
      <c r="D207" t="s">
        <v>81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>
        <f t="shared" si="6"/>
        <v>2024</v>
      </c>
      <c r="M207">
        <f t="shared" si="7"/>
        <v>4</v>
      </c>
    </row>
    <row r="208" spans="1:13" ht="15" customHeight="1" x14ac:dyDescent="0.2">
      <c r="A208" s="3">
        <v>45629</v>
      </c>
      <c r="B208" t="s">
        <v>257</v>
      </c>
      <c r="C208" t="s">
        <v>115</v>
      </c>
      <c r="D208" t="s">
        <v>49</v>
      </c>
      <c r="E208" s="4">
        <v>1339</v>
      </c>
      <c r="F208" s="4">
        <v>194.16</v>
      </c>
      <c r="G208" s="4">
        <v>1154.31</v>
      </c>
      <c r="H208" s="4">
        <v>11.54</v>
      </c>
      <c r="I208" s="4">
        <v>92.34</v>
      </c>
      <c r="J208" s="4">
        <v>73</v>
      </c>
      <c r="K208" s="4">
        <v>967.96</v>
      </c>
      <c r="L208">
        <f t="shared" si="6"/>
        <v>2024</v>
      </c>
      <c r="M208">
        <f t="shared" si="7"/>
        <v>4</v>
      </c>
    </row>
    <row r="209" spans="1:13" ht="15" customHeight="1" x14ac:dyDescent="0.2">
      <c r="A209" s="3">
        <v>45631</v>
      </c>
      <c r="B209" t="s">
        <v>258</v>
      </c>
      <c r="C209" t="s">
        <v>92</v>
      </c>
      <c r="D209" t="s">
        <v>77</v>
      </c>
      <c r="E209" s="4">
        <v>299</v>
      </c>
      <c r="F209" s="4">
        <v>58.31</v>
      </c>
      <c r="G209" s="4">
        <v>257.76</v>
      </c>
      <c r="H209" s="4">
        <v>2.58</v>
      </c>
      <c r="I209" s="4">
        <v>20.62</v>
      </c>
      <c r="J209" s="4">
        <v>80</v>
      </c>
      <c r="K209" s="4">
        <v>137.5</v>
      </c>
      <c r="L209">
        <f t="shared" si="6"/>
        <v>2024</v>
      </c>
      <c r="M209">
        <f t="shared" si="7"/>
        <v>4</v>
      </c>
    </row>
    <row r="210" spans="1:13" ht="15" customHeight="1" x14ac:dyDescent="0.2">
      <c r="A210" s="3">
        <v>45631</v>
      </c>
      <c r="B210" t="s">
        <v>259</v>
      </c>
      <c r="C210" t="s">
        <v>115</v>
      </c>
      <c r="D210" t="s">
        <v>56</v>
      </c>
      <c r="E210" s="4">
        <v>1339</v>
      </c>
      <c r="F210" s="4">
        <v>194.16</v>
      </c>
      <c r="G210" s="4">
        <v>1154.31</v>
      </c>
      <c r="H210" s="4">
        <v>11.54</v>
      </c>
      <c r="I210" s="4">
        <v>92.34</v>
      </c>
      <c r="J210" s="4">
        <v>73</v>
      </c>
      <c r="K210" s="4">
        <v>967.96</v>
      </c>
      <c r="L210">
        <f t="shared" si="6"/>
        <v>2024</v>
      </c>
      <c r="M210">
        <f t="shared" si="7"/>
        <v>4</v>
      </c>
    </row>
    <row r="211" spans="1:13" ht="15" customHeight="1" x14ac:dyDescent="0.2">
      <c r="A211" s="3">
        <v>45632</v>
      </c>
      <c r="B211" t="s">
        <v>260</v>
      </c>
      <c r="C211" t="s">
        <v>67</v>
      </c>
      <c r="D211" t="s">
        <v>49</v>
      </c>
      <c r="E211" s="4">
        <v>1499</v>
      </c>
      <c r="F211" s="4">
        <v>217.36</v>
      </c>
      <c r="G211" s="4">
        <v>1292.24</v>
      </c>
      <c r="H211" s="4">
        <v>12.92</v>
      </c>
      <c r="I211" s="4">
        <v>103.38</v>
      </c>
      <c r="J211" s="4">
        <v>79.5</v>
      </c>
      <c r="K211" s="4">
        <v>1085.8399999999999</v>
      </c>
      <c r="L211">
        <f t="shared" si="6"/>
        <v>2024</v>
      </c>
      <c r="M211">
        <f t="shared" si="7"/>
        <v>4</v>
      </c>
    </row>
    <row r="212" spans="1:13" ht="15" customHeight="1" x14ac:dyDescent="0.2">
      <c r="A212" s="3">
        <v>45632</v>
      </c>
      <c r="B212" t="s">
        <v>261</v>
      </c>
      <c r="C212" t="s">
        <v>67</v>
      </c>
      <c r="D212" t="s">
        <v>140</v>
      </c>
      <c r="E212" s="4">
        <v>1481.25</v>
      </c>
      <c r="F212" s="4">
        <v>148.13</v>
      </c>
      <c r="G212" s="4">
        <v>1276.94</v>
      </c>
      <c r="H212" s="4">
        <v>12.77</v>
      </c>
      <c r="I212" s="4">
        <v>102.16</v>
      </c>
      <c r="J212" s="4">
        <v>73</v>
      </c>
      <c r="K212" s="4">
        <v>1145.2</v>
      </c>
      <c r="L212">
        <f t="shared" si="6"/>
        <v>2024</v>
      </c>
      <c r="M212">
        <f t="shared" si="7"/>
        <v>4</v>
      </c>
    </row>
    <row r="213" spans="1:13" ht="15" customHeight="1" x14ac:dyDescent="0.2">
      <c r="A213" s="3">
        <v>45633</v>
      </c>
      <c r="B213" t="s">
        <v>262</v>
      </c>
      <c r="C213" t="s">
        <v>67</v>
      </c>
      <c r="D213" t="s">
        <v>24</v>
      </c>
      <c r="E213" s="4">
        <v>1481.25</v>
      </c>
      <c r="F213" s="4">
        <v>148.13</v>
      </c>
      <c r="G213" s="4">
        <v>1276.94</v>
      </c>
      <c r="H213" s="4">
        <v>12.77</v>
      </c>
      <c r="I213" s="4">
        <v>102.16</v>
      </c>
      <c r="J213" s="4">
        <v>73</v>
      </c>
      <c r="K213" s="4">
        <v>1145.2</v>
      </c>
      <c r="L213">
        <f t="shared" si="6"/>
        <v>2024</v>
      </c>
      <c r="M213">
        <f t="shared" si="7"/>
        <v>4</v>
      </c>
    </row>
    <row r="214" spans="1:13" ht="15" customHeight="1" x14ac:dyDescent="0.2">
      <c r="A214" s="3">
        <v>45633</v>
      </c>
      <c r="B214" t="s">
        <v>263</v>
      </c>
      <c r="C214" t="s">
        <v>67</v>
      </c>
      <c r="D214" t="s">
        <v>35</v>
      </c>
      <c r="E214" s="4">
        <v>1499</v>
      </c>
      <c r="F214" s="4">
        <v>217.36</v>
      </c>
      <c r="G214" s="4">
        <v>1292.24</v>
      </c>
      <c r="H214" s="4">
        <v>12.92</v>
      </c>
      <c r="I214" s="4">
        <v>103.38</v>
      </c>
      <c r="J214" s="4">
        <v>79.5</v>
      </c>
      <c r="K214" s="4">
        <v>1085.8399999999999</v>
      </c>
      <c r="L214">
        <f t="shared" si="6"/>
        <v>2024</v>
      </c>
      <c r="M214">
        <f t="shared" si="7"/>
        <v>4</v>
      </c>
    </row>
    <row r="215" spans="1:13" ht="15" customHeight="1" x14ac:dyDescent="0.2">
      <c r="A215" s="3">
        <v>45634</v>
      </c>
      <c r="B215" t="s">
        <v>264</v>
      </c>
      <c r="C215" t="s">
        <v>67</v>
      </c>
      <c r="D215" t="s">
        <v>27</v>
      </c>
      <c r="E215" s="4">
        <v>1499</v>
      </c>
      <c r="F215" s="4">
        <v>217.36</v>
      </c>
      <c r="G215" s="4">
        <v>1292.24</v>
      </c>
      <c r="H215" s="4">
        <v>12.92</v>
      </c>
      <c r="I215" s="4">
        <v>103.38</v>
      </c>
      <c r="J215" s="4">
        <v>79.5</v>
      </c>
      <c r="K215" s="4">
        <v>1085.8399999999999</v>
      </c>
      <c r="L215">
        <f t="shared" si="6"/>
        <v>2024</v>
      </c>
      <c r="M215">
        <f t="shared" si="7"/>
        <v>4</v>
      </c>
    </row>
    <row r="216" spans="1:13" ht="15" customHeight="1" x14ac:dyDescent="0.2">
      <c r="A216" s="3">
        <v>45634</v>
      </c>
      <c r="B216" t="s">
        <v>265</v>
      </c>
      <c r="C216" t="s">
        <v>52</v>
      </c>
      <c r="D216" t="s">
        <v>85</v>
      </c>
      <c r="E216" s="4">
        <v>299</v>
      </c>
      <c r="F216" s="4">
        <v>58.31</v>
      </c>
      <c r="G216" s="4">
        <v>257.76</v>
      </c>
      <c r="H216" s="4">
        <v>2.58</v>
      </c>
      <c r="I216" s="4">
        <v>20.62</v>
      </c>
      <c r="J216" s="4">
        <v>76</v>
      </c>
      <c r="K216" s="4">
        <v>141.5</v>
      </c>
      <c r="L216">
        <f t="shared" si="6"/>
        <v>2024</v>
      </c>
      <c r="M216">
        <f t="shared" si="7"/>
        <v>4</v>
      </c>
    </row>
    <row r="217" spans="1:13" ht="15" customHeight="1" x14ac:dyDescent="0.2">
      <c r="A217" s="3">
        <v>45634</v>
      </c>
      <c r="B217" t="s">
        <v>266</v>
      </c>
      <c r="C217" t="s">
        <v>76</v>
      </c>
      <c r="D217" t="s">
        <v>21</v>
      </c>
      <c r="E217" s="4">
        <v>1599</v>
      </c>
      <c r="F217" s="4">
        <v>231.86</v>
      </c>
      <c r="G217" s="4">
        <v>1378.45</v>
      </c>
      <c r="H217" s="4">
        <v>13.78</v>
      </c>
      <c r="I217" s="4">
        <v>110.28</v>
      </c>
      <c r="J217" s="4">
        <v>73</v>
      </c>
      <c r="K217" s="4">
        <v>1170.08</v>
      </c>
      <c r="L217">
        <f t="shared" si="6"/>
        <v>2024</v>
      </c>
      <c r="M217">
        <f t="shared" si="7"/>
        <v>4</v>
      </c>
    </row>
    <row r="218" spans="1:13" ht="15" customHeight="1" x14ac:dyDescent="0.2">
      <c r="A218" s="3">
        <v>45635</v>
      </c>
      <c r="B218" t="s">
        <v>267</v>
      </c>
      <c r="C218" t="s">
        <v>67</v>
      </c>
      <c r="D218" t="s">
        <v>49</v>
      </c>
      <c r="E218" s="4">
        <v>1481.25</v>
      </c>
      <c r="F218" s="4">
        <v>148.13</v>
      </c>
      <c r="G218" s="4">
        <v>1276.94</v>
      </c>
      <c r="H218" s="4">
        <v>12.77</v>
      </c>
      <c r="I218" s="4">
        <v>102.16</v>
      </c>
      <c r="J218" s="4">
        <v>73</v>
      </c>
      <c r="K218" s="4">
        <v>1145.2</v>
      </c>
      <c r="L218">
        <f t="shared" si="6"/>
        <v>2024</v>
      </c>
      <c r="M218">
        <f t="shared" si="7"/>
        <v>4</v>
      </c>
    </row>
    <row r="219" spans="1:13" ht="15" customHeight="1" x14ac:dyDescent="0.2">
      <c r="A219" s="3">
        <v>45636</v>
      </c>
      <c r="B219" t="s">
        <v>268</v>
      </c>
      <c r="C219" t="s">
        <v>52</v>
      </c>
      <c r="D219" t="s">
        <v>21</v>
      </c>
      <c r="E219" s="4">
        <v>299</v>
      </c>
      <c r="F219" s="4">
        <v>58.31</v>
      </c>
      <c r="G219" s="4">
        <v>257.76</v>
      </c>
      <c r="H219" s="4">
        <v>2.58</v>
      </c>
      <c r="I219" s="4">
        <v>20.62</v>
      </c>
      <c r="J219" s="4">
        <v>76</v>
      </c>
      <c r="K219" s="4">
        <v>141.5</v>
      </c>
      <c r="L219">
        <f t="shared" si="6"/>
        <v>2024</v>
      </c>
      <c r="M219">
        <f t="shared" si="7"/>
        <v>4</v>
      </c>
    </row>
    <row r="220" spans="1:13" ht="15" customHeight="1" x14ac:dyDescent="0.2">
      <c r="A220" s="3">
        <v>45636</v>
      </c>
      <c r="B220" t="s">
        <v>269</v>
      </c>
      <c r="C220" t="s">
        <v>90</v>
      </c>
      <c r="D220" t="s">
        <v>81</v>
      </c>
      <c r="E220" s="4">
        <v>322.05</v>
      </c>
      <c r="F220" s="4">
        <v>46.7</v>
      </c>
      <c r="G220" s="4">
        <v>277.63</v>
      </c>
      <c r="H220" s="4">
        <v>2.78</v>
      </c>
      <c r="I220" s="4">
        <v>22.21</v>
      </c>
      <c r="J220" s="4">
        <v>63.6</v>
      </c>
      <c r="K220" s="4">
        <v>186.77</v>
      </c>
      <c r="L220">
        <f t="shared" si="6"/>
        <v>2024</v>
      </c>
      <c r="M220">
        <f t="shared" si="7"/>
        <v>4</v>
      </c>
    </row>
    <row r="221" spans="1:13" ht="15" customHeight="1" x14ac:dyDescent="0.2">
      <c r="A221" s="3">
        <v>45636</v>
      </c>
      <c r="B221" t="s">
        <v>270</v>
      </c>
      <c r="C221" t="s">
        <v>67</v>
      </c>
      <c r="D221" t="s">
        <v>35</v>
      </c>
      <c r="E221" s="4">
        <v>1499</v>
      </c>
      <c r="F221" s="4">
        <v>217.36</v>
      </c>
      <c r="G221" s="4">
        <v>1292.24</v>
      </c>
      <c r="H221" s="4">
        <v>12.92</v>
      </c>
      <c r="I221" s="4">
        <v>103.38</v>
      </c>
      <c r="J221" s="4">
        <v>79.5</v>
      </c>
      <c r="K221" s="4">
        <v>1085.8399999999999</v>
      </c>
      <c r="L221">
        <f t="shared" si="6"/>
        <v>2024</v>
      </c>
      <c r="M221">
        <f t="shared" si="7"/>
        <v>4</v>
      </c>
    </row>
    <row r="222" spans="1:13" ht="15" customHeight="1" x14ac:dyDescent="0.2">
      <c r="A222" s="3">
        <v>45637</v>
      </c>
      <c r="B222" t="s">
        <v>271</v>
      </c>
      <c r="C222" t="s">
        <v>115</v>
      </c>
      <c r="D222" t="s">
        <v>38</v>
      </c>
      <c r="E222" s="4">
        <v>1599</v>
      </c>
      <c r="F222" s="4">
        <v>231.86</v>
      </c>
      <c r="G222" s="4">
        <v>1378.45</v>
      </c>
      <c r="H222" s="4">
        <v>13.78</v>
      </c>
      <c r="I222" s="4">
        <v>110.28</v>
      </c>
      <c r="J222" s="4">
        <v>73</v>
      </c>
      <c r="K222" s="4">
        <v>1170.08</v>
      </c>
      <c r="L222">
        <f t="shared" si="6"/>
        <v>2024</v>
      </c>
      <c r="M222">
        <f t="shared" si="7"/>
        <v>4</v>
      </c>
    </row>
    <row r="223" spans="1:13" ht="15" customHeight="1" x14ac:dyDescent="0.2">
      <c r="A223" s="3">
        <v>45637</v>
      </c>
      <c r="B223" t="s">
        <v>272</v>
      </c>
      <c r="C223" t="s">
        <v>90</v>
      </c>
      <c r="D223" t="s">
        <v>93</v>
      </c>
      <c r="E223" s="4">
        <v>322.05</v>
      </c>
      <c r="F223" s="4">
        <v>46.7</v>
      </c>
      <c r="G223" s="4">
        <v>277.63</v>
      </c>
      <c r="H223" s="4">
        <v>2.78</v>
      </c>
      <c r="I223" s="4">
        <v>22.21</v>
      </c>
      <c r="J223" s="4">
        <v>63.6</v>
      </c>
      <c r="K223" s="4">
        <v>186.77</v>
      </c>
      <c r="L223">
        <f t="shared" si="6"/>
        <v>2024</v>
      </c>
      <c r="M223">
        <f t="shared" si="7"/>
        <v>4</v>
      </c>
    </row>
    <row r="224" spans="1:13" ht="15" customHeight="1" x14ac:dyDescent="0.2">
      <c r="A224" s="3">
        <v>45639</v>
      </c>
      <c r="B224" t="s">
        <v>273</v>
      </c>
      <c r="C224" t="s">
        <v>52</v>
      </c>
      <c r="D224" t="s">
        <v>93</v>
      </c>
      <c r="E224" s="4">
        <v>299</v>
      </c>
      <c r="F224" s="4">
        <v>58.31</v>
      </c>
      <c r="G224" s="4">
        <v>257.76</v>
      </c>
      <c r="H224" s="4">
        <v>2.58</v>
      </c>
      <c r="I224" s="4">
        <v>20.62</v>
      </c>
      <c r="J224" s="4">
        <v>76</v>
      </c>
      <c r="K224" s="4">
        <v>141.5</v>
      </c>
      <c r="L224">
        <f t="shared" si="6"/>
        <v>2024</v>
      </c>
      <c r="M224">
        <f t="shared" si="7"/>
        <v>4</v>
      </c>
    </row>
    <row r="225" spans="1:13" ht="15" customHeight="1" x14ac:dyDescent="0.2">
      <c r="A225" s="3">
        <v>45640</v>
      </c>
      <c r="B225" t="s">
        <v>274</v>
      </c>
      <c r="C225" t="s">
        <v>31</v>
      </c>
      <c r="D225" t="s">
        <v>24</v>
      </c>
      <c r="E225" s="4">
        <v>1300</v>
      </c>
      <c r="F225" s="4">
        <v>188.5</v>
      </c>
      <c r="G225" s="4">
        <v>1120.69</v>
      </c>
      <c r="H225" s="4">
        <v>11.21</v>
      </c>
      <c r="I225" s="4">
        <v>89.66</v>
      </c>
      <c r="J225" s="4">
        <v>73</v>
      </c>
      <c r="K225" s="4">
        <v>937.64</v>
      </c>
      <c r="L225">
        <f t="shared" si="6"/>
        <v>2024</v>
      </c>
      <c r="M225">
        <f t="shared" si="7"/>
        <v>4</v>
      </c>
    </row>
    <row r="226" spans="1:13" ht="15" customHeight="1" x14ac:dyDescent="0.2">
      <c r="A226" s="3">
        <v>45640</v>
      </c>
      <c r="B226" t="s">
        <v>275</v>
      </c>
      <c r="C226" t="s">
        <v>76</v>
      </c>
      <c r="D226" t="s">
        <v>93</v>
      </c>
      <c r="E226" s="4">
        <v>1599</v>
      </c>
      <c r="F226" s="4">
        <v>231.86</v>
      </c>
      <c r="G226" s="4">
        <v>1378.45</v>
      </c>
      <c r="H226" s="4">
        <v>13.78</v>
      </c>
      <c r="I226" s="4">
        <v>110.28</v>
      </c>
      <c r="J226" s="4">
        <v>73</v>
      </c>
      <c r="K226" s="4">
        <v>1170.08</v>
      </c>
      <c r="L226">
        <f t="shared" si="6"/>
        <v>2024</v>
      </c>
      <c r="M226">
        <f t="shared" si="7"/>
        <v>4</v>
      </c>
    </row>
    <row r="227" spans="1:13" ht="15" customHeight="1" x14ac:dyDescent="0.2">
      <c r="A227" s="3">
        <v>45641</v>
      </c>
      <c r="B227" t="s">
        <v>276</v>
      </c>
      <c r="C227" t="s">
        <v>31</v>
      </c>
      <c r="D227" t="s">
        <v>35</v>
      </c>
      <c r="E227" s="4">
        <v>1499</v>
      </c>
      <c r="F227" s="4">
        <v>217.36</v>
      </c>
      <c r="G227" s="4">
        <v>1292.24</v>
      </c>
      <c r="H227" s="4">
        <v>12.92</v>
      </c>
      <c r="I227" s="4">
        <v>103.38</v>
      </c>
      <c r="J227" s="4">
        <v>73</v>
      </c>
      <c r="K227" s="4">
        <v>1092.3399999999999</v>
      </c>
      <c r="L227">
        <f t="shared" si="6"/>
        <v>2024</v>
      </c>
      <c r="M227">
        <f t="shared" si="7"/>
        <v>4</v>
      </c>
    </row>
    <row r="228" spans="1:13" ht="15" customHeight="1" x14ac:dyDescent="0.2">
      <c r="A228" s="3">
        <v>45641</v>
      </c>
      <c r="B228" t="s">
        <v>277</v>
      </c>
      <c r="C228" t="s">
        <v>187</v>
      </c>
      <c r="D228" t="s">
        <v>119</v>
      </c>
      <c r="E228" s="4">
        <v>314.10000000000002</v>
      </c>
      <c r="F228" s="4">
        <v>61.25</v>
      </c>
      <c r="G228" s="4">
        <v>270.77999999999997</v>
      </c>
      <c r="H228" s="4">
        <v>2.71</v>
      </c>
      <c r="I228" s="4">
        <v>21.66</v>
      </c>
      <c r="J228" s="4">
        <v>63.6</v>
      </c>
      <c r="K228" s="4">
        <v>164.88</v>
      </c>
      <c r="L228">
        <f t="shared" si="6"/>
        <v>2024</v>
      </c>
      <c r="M228">
        <f t="shared" si="7"/>
        <v>4</v>
      </c>
    </row>
    <row r="229" spans="1:13" ht="15" customHeight="1" x14ac:dyDescent="0.2">
      <c r="A229" s="3">
        <v>45642</v>
      </c>
      <c r="B229" t="s">
        <v>278</v>
      </c>
      <c r="C229" t="s">
        <v>90</v>
      </c>
      <c r="D229" t="s">
        <v>129</v>
      </c>
      <c r="E229" s="4">
        <v>299</v>
      </c>
      <c r="F229" s="4">
        <v>43.36</v>
      </c>
      <c r="G229" s="4">
        <v>257.76</v>
      </c>
      <c r="H229" s="4">
        <v>2.58</v>
      </c>
      <c r="I229" s="4">
        <v>20.62</v>
      </c>
      <c r="J229" s="4">
        <v>63.6</v>
      </c>
      <c r="K229" s="4">
        <v>168.85</v>
      </c>
      <c r="L229">
        <f t="shared" si="6"/>
        <v>2024</v>
      </c>
      <c r="M229">
        <f t="shared" si="7"/>
        <v>4</v>
      </c>
    </row>
    <row r="230" spans="1:13" ht="15" customHeight="1" x14ac:dyDescent="0.2">
      <c r="A230" s="3">
        <v>45642</v>
      </c>
      <c r="B230" t="s">
        <v>279</v>
      </c>
      <c r="C230" t="s">
        <v>90</v>
      </c>
      <c r="D230" t="s">
        <v>232</v>
      </c>
      <c r="E230" s="4">
        <v>299</v>
      </c>
      <c r="F230" s="4">
        <v>43.36</v>
      </c>
      <c r="G230" s="4">
        <v>257.76</v>
      </c>
      <c r="H230" s="4">
        <v>2.58</v>
      </c>
      <c r="I230" s="4">
        <v>20.62</v>
      </c>
      <c r="J230" s="4">
        <v>63.6</v>
      </c>
      <c r="K230" s="4">
        <v>168.85</v>
      </c>
      <c r="L230">
        <f t="shared" si="6"/>
        <v>2024</v>
      </c>
      <c r="M230">
        <f t="shared" si="7"/>
        <v>4</v>
      </c>
    </row>
    <row r="231" spans="1:13" ht="15" customHeight="1" x14ac:dyDescent="0.2">
      <c r="A231" s="3">
        <v>45644</v>
      </c>
      <c r="B231" t="s">
        <v>280</v>
      </c>
      <c r="C231" t="s">
        <v>52</v>
      </c>
      <c r="D231" t="s">
        <v>129</v>
      </c>
      <c r="E231" s="4">
        <v>299</v>
      </c>
      <c r="F231" s="4">
        <v>58.31</v>
      </c>
      <c r="G231" s="4">
        <v>257.76</v>
      </c>
      <c r="H231" s="4">
        <v>2.58</v>
      </c>
      <c r="I231" s="4">
        <v>20.62</v>
      </c>
      <c r="J231" s="4">
        <v>76</v>
      </c>
      <c r="K231" s="4">
        <v>141.5</v>
      </c>
      <c r="L231">
        <f t="shared" si="6"/>
        <v>2024</v>
      </c>
      <c r="M231">
        <f t="shared" si="7"/>
        <v>4</v>
      </c>
    </row>
    <row r="232" spans="1:13" ht="15" customHeight="1" x14ac:dyDescent="0.2">
      <c r="A232" s="3">
        <v>45644</v>
      </c>
      <c r="B232" t="s">
        <v>280</v>
      </c>
      <c r="C232" t="s">
        <v>31</v>
      </c>
      <c r="D232" t="s">
        <v>24</v>
      </c>
      <c r="E232" s="4">
        <v>1599</v>
      </c>
      <c r="F232" s="4">
        <v>231.86</v>
      </c>
      <c r="G232" s="4">
        <v>1378.45</v>
      </c>
      <c r="H232" s="4">
        <v>13.78</v>
      </c>
      <c r="I232" s="4">
        <v>110.28</v>
      </c>
      <c r="J232" s="4">
        <v>73</v>
      </c>
      <c r="K232" s="4">
        <v>1170.08</v>
      </c>
      <c r="L232">
        <f t="shared" si="6"/>
        <v>2024</v>
      </c>
      <c r="M232">
        <f t="shared" si="7"/>
        <v>4</v>
      </c>
    </row>
    <row r="233" spans="1:13" ht="15" customHeight="1" x14ac:dyDescent="0.2">
      <c r="A233" s="3">
        <v>45644</v>
      </c>
      <c r="B233" t="s">
        <v>281</v>
      </c>
      <c r="C233" t="s">
        <v>52</v>
      </c>
      <c r="D233" t="s">
        <v>143</v>
      </c>
      <c r="E233" s="4">
        <v>299</v>
      </c>
      <c r="F233" s="4">
        <v>58.31</v>
      </c>
      <c r="G233" s="4">
        <v>257.76</v>
      </c>
      <c r="H233" s="4">
        <v>2.58</v>
      </c>
      <c r="I233" s="4">
        <v>20.62</v>
      </c>
      <c r="J233" s="4">
        <v>76</v>
      </c>
      <c r="K233" s="4">
        <v>141.5</v>
      </c>
      <c r="L233">
        <f t="shared" si="6"/>
        <v>2024</v>
      </c>
      <c r="M233">
        <f t="shared" si="7"/>
        <v>4</v>
      </c>
    </row>
    <row r="234" spans="1:13" ht="15" customHeight="1" x14ac:dyDescent="0.2">
      <c r="A234" s="3">
        <v>45645</v>
      </c>
      <c r="B234" t="s">
        <v>282</v>
      </c>
      <c r="C234" t="s">
        <v>67</v>
      </c>
      <c r="D234" t="s">
        <v>59</v>
      </c>
      <c r="E234" s="4">
        <v>1699</v>
      </c>
      <c r="F234" s="4">
        <v>246.36</v>
      </c>
      <c r="G234" s="4">
        <v>1464.66</v>
      </c>
      <c r="H234" s="4">
        <v>14.65</v>
      </c>
      <c r="I234" s="4">
        <v>117.17</v>
      </c>
      <c r="J234" s="4">
        <v>79.5</v>
      </c>
      <c r="K234" s="4">
        <v>1241.33</v>
      </c>
      <c r="L234">
        <f t="shared" si="6"/>
        <v>2024</v>
      </c>
      <c r="M234">
        <f t="shared" si="7"/>
        <v>4</v>
      </c>
    </row>
    <row r="235" spans="1:13" ht="15" customHeight="1" x14ac:dyDescent="0.2">
      <c r="A235" s="3">
        <v>45645</v>
      </c>
      <c r="B235" t="s">
        <v>283</v>
      </c>
      <c r="C235" t="s">
        <v>52</v>
      </c>
      <c r="D235" t="s">
        <v>24</v>
      </c>
      <c r="E235" s="4">
        <v>299</v>
      </c>
      <c r="F235" s="4">
        <v>58.31</v>
      </c>
      <c r="G235" s="4">
        <v>257.76</v>
      </c>
      <c r="H235" s="4">
        <v>2.58</v>
      </c>
      <c r="I235" s="4">
        <v>20.62</v>
      </c>
      <c r="J235" s="4">
        <v>76</v>
      </c>
      <c r="K235" s="4">
        <v>141.5</v>
      </c>
      <c r="L235">
        <f t="shared" si="6"/>
        <v>2024</v>
      </c>
      <c r="M235">
        <f t="shared" si="7"/>
        <v>4</v>
      </c>
    </row>
    <row r="236" spans="1:13" ht="15" customHeight="1" x14ac:dyDescent="0.2">
      <c r="A236" s="3">
        <v>45645</v>
      </c>
      <c r="B236" t="s">
        <v>284</v>
      </c>
      <c r="C236" t="s">
        <v>285</v>
      </c>
      <c r="D236" t="s">
        <v>29</v>
      </c>
      <c r="E236" s="4">
        <v>84.55</v>
      </c>
      <c r="F236" s="4">
        <v>44.49</v>
      </c>
      <c r="G236" s="4">
        <v>72.89</v>
      </c>
      <c r="H236" s="4">
        <v>0.73</v>
      </c>
      <c r="I236" s="4">
        <v>5.83</v>
      </c>
      <c r="J236" s="4">
        <v>0</v>
      </c>
      <c r="K236" s="4">
        <v>33.5</v>
      </c>
      <c r="L236">
        <f t="shared" si="6"/>
        <v>2024</v>
      </c>
      <c r="M236">
        <f t="shared" si="7"/>
        <v>4</v>
      </c>
    </row>
    <row r="237" spans="1:13" ht="15" customHeight="1" x14ac:dyDescent="0.2">
      <c r="A237" s="3">
        <v>45646</v>
      </c>
      <c r="B237" t="s">
        <v>286</v>
      </c>
      <c r="C237" t="s">
        <v>31</v>
      </c>
      <c r="D237" t="s">
        <v>40</v>
      </c>
      <c r="E237" s="4">
        <v>1599</v>
      </c>
      <c r="F237" s="4">
        <v>231.86</v>
      </c>
      <c r="G237" s="4">
        <v>1378.45</v>
      </c>
      <c r="H237" s="4">
        <v>13.78</v>
      </c>
      <c r="I237" s="4">
        <v>110.28</v>
      </c>
      <c r="J237" s="4">
        <v>73</v>
      </c>
      <c r="K237" s="4">
        <v>1170.08</v>
      </c>
      <c r="L237">
        <f t="shared" si="6"/>
        <v>2024</v>
      </c>
      <c r="M237">
        <f t="shared" si="7"/>
        <v>4</v>
      </c>
    </row>
    <row r="238" spans="1:13" ht="15" customHeight="1" x14ac:dyDescent="0.2">
      <c r="A238" s="3">
        <v>45647</v>
      </c>
      <c r="B238" t="s">
        <v>287</v>
      </c>
      <c r="C238" t="s">
        <v>67</v>
      </c>
      <c r="D238" t="s">
        <v>129</v>
      </c>
      <c r="E238" s="4">
        <v>1699</v>
      </c>
      <c r="F238" s="4">
        <v>246.36</v>
      </c>
      <c r="G238" s="4">
        <v>1464.66</v>
      </c>
      <c r="H238" s="4">
        <v>14.65</v>
      </c>
      <c r="I238" s="4">
        <v>117.17</v>
      </c>
      <c r="J238" s="4">
        <v>79.5</v>
      </c>
      <c r="K238" s="4">
        <v>1241.33</v>
      </c>
      <c r="L238">
        <f t="shared" si="6"/>
        <v>2024</v>
      </c>
      <c r="M238">
        <f t="shared" si="7"/>
        <v>4</v>
      </c>
    </row>
    <row r="239" spans="1:13" ht="15" customHeight="1" x14ac:dyDescent="0.2">
      <c r="A239" s="3">
        <v>45647</v>
      </c>
      <c r="B239" t="s">
        <v>288</v>
      </c>
      <c r="C239" t="s">
        <v>289</v>
      </c>
      <c r="D239" t="s">
        <v>38</v>
      </c>
      <c r="E239" s="4">
        <v>300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300</v>
      </c>
      <c r="L239">
        <f t="shared" si="6"/>
        <v>2024</v>
      </c>
      <c r="M239">
        <f t="shared" si="7"/>
        <v>4</v>
      </c>
    </row>
    <row r="240" spans="1:13" ht="15" customHeight="1" x14ac:dyDescent="0.2">
      <c r="A240" s="3">
        <v>45647</v>
      </c>
      <c r="B240" t="s">
        <v>43</v>
      </c>
      <c r="C240" t="s">
        <v>290</v>
      </c>
      <c r="D240" t="s">
        <v>38</v>
      </c>
      <c r="E240" s="4">
        <v>300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300</v>
      </c>
      <c r="L240">
        <f t="shared" si="6"/>
        <v>2024</v>
      </c>
      <c r="M240">
        <f t="shared" si="7"/>
        <v>4</v>
      </c>
    </row>
    <row r="241" spans="1:13" ht="15" customHeight="1" x14ac:dyDescent="0.2">
      <c r="A241" s="3">
        <v>45648</v>
      </c>
      <c r="B241" t="s">
        <v>124</v>
      </c>
      <c r="C241" t="s">
        <v>290</v>
      </c>
      <c r="D241" t="s">
        <v>38</v>
      </c>
      <c r="E241" s="4">
        <v>300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300</v>
      </c>
      <c r="L241">
        <f t="shared" si="6"/>
        <v>2024</v>
      </c>
      <c r="M241">
        <f t="shared" si="7"/>
        <v>4</v>
      </c>
    </row>
    <row r="242" spans="1:13" ht="15" customHeight="1" x14ac:dyDescent="0.2">
      <c r="A242" s="3">
        <v>45648</v>
      </c>
      <c r="B242" t="s">
        <v>124</v>
      </c>
      <c r="C242" t="s">
        <v>291</v>
      </c>
      <c r="D242" t="s">
        <v>38</v>
      </c>
      <c r="E242" s="4">
        <v>300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300</v>
      </c>
      <c r="L242">
        <f t="shared" si="6"/>
        <v>2024</v>
      </c>
      <c r="M242">
        <f t="shared" si="7"/>
        <v>4</v>
      </c>
    </row>
    <row r="243" spans="1:13" ht="15" customHeight="1" x14ac:dyDescent="0.2">
      <c r="A243" s="3">
        <v>45648</v>
      </c>
      <c r="B243" t="s">
        <v>292</v>
      </c>
      <c r="C243" t="s">
        <v>31</v>
      </c>
      <c r="D243" t="s">
        <v>35</v>
      </c>
      <c r="E243" s="4">
        <v>1699</v>
      </c>
      <c r="F243" s="4">
        <v>246.36</v>
      </c>
      <c r="G243" s="4">
        <v>1464.66</v>
      </c>
      <c r="H243" s="4">
        <v>14.65</v>
      </c>
      <c r="I243" s="4">
        <v>117.17</v>
      </c>
      <c r="J243" s="4">
        <v>79.5</v>
      </c>
      <c r="K243" s="4">
        <v>1241.33</v>
      </c>
      <c r="L243">
        <f t="shared" si="6"/>
        <v>2024</v>
      </c>
      <c r="M243">
        <f t="shared" si="7"/>
        <v>4</v>
      </c>
    </row>
    <row r="244" spans="1:13" ht="15" customHeight="1" x14ac:dyDescent="0.2">
      <c r="A244" s="3">
        <v>45649</v>
      </c>
      <c r="B244" t="s">
        <v>293</v>
      </c>
      <c r="C244" t="s">
        <v>67</v>
      </c>
      <c r="D244" t="s">
        <v>49</v>
      </c>
      <c r="E244" s="4">
        <v>1699</v>
      </c>
      <c r="F244" s="4">
        <v>246.36</v>
      </c>
      <c r="G244" s="4">
        <v>1464.66</v>
      </c>
      <c r="H244" s="4">
        <v>14.65</v>
      </c>
      <c r="I244" s="4">
        <v>117.17</v>
      </c>
      <c r="J244" s="4">
        <v>79.5</v>
      </c>
      <c r="K244" s="4">
        <v>1241.33</v>
      </c>
      <c r="L244">
        <f t="shared" si="6"/>
        <v>2024</v>
      </c>
      <c r="M244">
        <f t="shared" si="7"/>
        <v>4</v>
      </c>
    </row>
    <row r="245" spans="1:13" ht="15" customHeight="1" x14ac:dyDescent="0.2">
      <c r="A245" s="3">
        <v>45650</v>
      </c>
      <c r="B245" t="s">
        <v>294</v>
      </c>
      <c r="C245" t="s">
        <v>67</v>
      </c>
      <c r="D245" t="s">
        <v>215</v>
      </c>
      <c r="E245" s="4">
        <v>1709.05</v>
      </c>
      <c r="F245" s="4">
        <v>170.91</v>
      </c>
      <c r="G245" s="4">
        <v>1473.32</v>
      </c>
      <c r="H245" s="4">
        <v>14.73</v>
      </c>
      <c r="I245" s="4">
        <v>117.87</v>
      </c>
      <c r="J245" s="4">
        <v>73</v>
      </c>
      <c r="K245" s="4">
        <v>1332.55</v>
      </c>
      <c r="L245">
        <f t="shared" si="6"/>
        <v>2024</v>
      </c>
      <c r="M245">
        <f t="shared" si="7"/>
        <v>4</v>
      </c>
    </row>
    <row r="246" spans="1:13" ht="15" customHeight="1" x14ac:dyDescent="0.2">
      <c r="A246" s="3">
        <v>45654</v>
      </c>
      <c r="B246" t="s">
        <v>295</v>
      </c>
      <c r="C246" t="s">
        <v>90</v>
      </c>
      <c r="D246" t="s">
        <v>126</v>
      </c>
      <c r="E246" s="4">
        <v>299</v>
      </c>
      <c r="F246" s="4">
        <v>43.36</v>
      </c>
      <c r="G246" s="4">
        <v>257.76</v>
      </c>
      <c r="H246" s="4">
        <v>2.58</v>
      </c>
      <c r="I246" s="4">
        <v>20.62</v>
      </c>
      <c r="J246" s="4">
        <v>63.6</v>
      </c>
      <c r="K246" s="4">
        <v>168.85</v>
      </c>
      <c r="L246">
        <f t="shared" si="6"/>
        <v>2024</v>
      </c>
      <c r="M246">
        <f t="shared" si="7"/>
        <v>4</v>
      </c>
    </row>
    <row r="247" spans="1:13" ht="15" customHeight="1" x14ac:dyDescent="0.2">
      <c r="A247" s="3">
        <v>45658</v>
      </c>
      <c r="B247" t="s">
        <v>296</v>
      </c>
      <c r="C247" t="s">
        <v>123</v>
      </c>
      <c r="D247" t="s">
        <v>38</v>
      </c>
      <c r="E247" s="4">
        <v>299</v>
      </c>
      <c r="F247" s="4">
        <v>58.31</v>
      </c>
      <c r="G247" s="4">
        <v>257.76</v>
      </c>
      <c r="H247" s="4">
        <v>2.58</v>
      </c>
      <c r="I247" s="4">
        <v>20.62</v>
      </c>
      <c r="J247" s="4">
        <v>76</v>
      </c>
      <c r="K247" s="4">
        <v>141.5</v>
      </c>
      <c r="L247">
        <f t="shared" si="6"/>
        <v>2025</v>
      </c>
      <c r="M247">
        <f t="shared" si="7"/>
        <v>1</v>
      </c>
    </row>
    <row r="248" spans="1:13" ht="15" customHeight="1" x14ac:dyDescent="0.2">
      <c r="A248" s="3">
        <v>45658</v>
      </c>
      <c r="B248" t="s">
        <v>297</v>
      </c>
      <c r="C248" t="s">
        <v>76</v>
      </c>
      <c r="D248" t="s">
        <v>59</v>
      </c>
      <c r="E248" s="4">
        <v>1595.16</v>
      </c>
      <c r="F248" s="4">
        <v>231.3</v>
      </c>
      <c r="G248" s="4">
        <v>1375.14</v>
      </c>
      <c r="H248" s="4">
        <v>13.75</v>
      </c>
      <c r="I248" s="4">
        <v>110.01</v>
      </c>
      <c r="J248" s="4">
        <v>73</v>
      </c>
      <c r="K248" s="4">
        <v>1167.0999999999999</v>
      </c>
      <c r="L248">
        <f t="shared" si="6"/>
        <v>2025</v>
      </c>
      <c r="M248">
        <f t="shared" si="7"/>
        <v>1</v>
      </c>
    </row>
    <row r="249" spans="1:13" ht="15" customHeight="1" x14ac:dyDescent="0.2">
      <c r="A249" s="3">
        <v>45658</v>
      </c>
      <c r="B249" t="s">
        <v>298</v>
      </c>
      <c r="C249" t="s">
        <v>26</v>
      </c>
      <c r="D249" t="s">
        <v>53</v>
      </c>
      <c r="E249" s="4">
        <v>84.55</v>
      </c>
      <c r="F249" s="4">
        <v>44.49</v>
      </c>
      <c r="G249" s="4">
        <v>72.89</v>
      </c>
      <c r="H249" s="4">
        <v>0.73</v>
      </c>
      <c r="I249" s="4">
        <v>5.83</v>
      </c>
      <c r="J249" s="4">
        <v>0</v>
      </c>
      <c r="K249" s="4">
        <v>33.5</v>
      </c>
      <c r="L249">
        <f t="shared" si="6"/>
        <v>2025</v>
      </c>
      <c r="M249">
        <f t="shared" si="7"/>
        <v>1</v>
      </c>
    </row>
    <row r="250" spans="1:13" ht="15" customHeight="1" x14ac:dyDescent="0.2">
      <c r="A250" s="3">
        <v>45660</v>
      </c>
      <c r="B250" t="s">
        <v>299</v>
      </c>
      <c r="C250" t="s">
        <v>76</v>
      </c>
      <c r="D250" t="s">
        <v>81</v>
      </c>
      <c r="E250" s="4">
        <v>1599</v>
      </c>
      <c r="F250" s="4">
        <v>231.86</v>
      </c>
      <c r="G250" s="4">
        <v>1378.45</v>
      </c>
      <c r="H250" s="4">
        <v>13.78</v>
      </c>
      <c r="I250" s="4">
        <v>110.28</v>
      </c>
      <c r="J250" s="4">
        <v>73</v>
      </c>
      <c r="K250" s="4">
        <v>1170.08</v>
      </c>
      <c r="L250">
        <f t="shared" si="6"/>
        <v>2025</v>
      </c>
      <c r="M250">
        <f t="shared" si="7"/>
        <v>1</v>
      </c>
    </row>
    <row r="251" spans="1:13" ht="15" customHeight="1" x14ac:dyDescent="0.2">
      <c r="A251" s="3">
        <v>45660</v>
      </c>
      <c r="B251" t="s">
        <v>300</v>
      </c>
      <c r="C251" t="s">
        <v>115</v>
      </c>
      <c r="D251" t="s">
        <v>49</v>
      </c>
      <c r="E251" s="4">
        <v>1557.18</v>
      </c>
      <c r="F251" s="4">
        <v>225.79</v>
      </c>
      <c r="G251" s="4">
        <v>1342.4</v>
      </c>
      <c r="H251" s="4">
        <v>13.42</v>
      </c>
      <c r="I251" s="4">
        <v>107.39</v>
      </c>
      <c r="J251" s="4">
        <v>73</v>
      </c>
      <c r="K251" s="4">
        <v>1137.57</v>
      </c>
      <c r="L251">
        <f t="shared" si="6"/>
        <v>2025</v>
      </c>
      <c r="M251">
        <f t="shared" si="7"/>
        <v>1</v>
      </c>
    </row>
    <row r="252" spans="1:13" ht="15" customHeight="1" x14ac:dyDescent="0.2">
      <c r="A252" s="3">
        <v>45660</v>
      </c>
      <c r="B252" t="s">
        <v>301</v>
      </c>
      <c r="C252" t="s">
        <v>76</v>
      </c>
      <c r="D252" t="s">
        <v>33</v>
      </c>
      <c r="E252" s="4">
        <v>1595.16</v>
      </c>
      <c r="F252" s="4">
        <v>231.3</v>
      </c>
      <c r="G252" s="4">
        <v>1375.14</v>
      </c>
      <c r="H252" s="4">
        <v>13.75</v>
      </c>
      <c r="I252" s="4">
        <v>110.01</v>
      </c>
      <c r="J252" s="4">
        <v>73</v>
      </c>
      <c r="K252" s="4">
        <v>1167.0999999999999</v>
      </c>
      <c r="L252">
        <f t="shared" si="6"/>
        <v>2025</v>
      </c>
      <c r="M252">
        <f t="shared" si="7"/>
        <v>1</v>
      </c>
    </row>
    <row r="253" spans="1:13" ht="15" customHeight="1" x14ac:dyDescent="0.2">
      <c r="A253" s="3">
        <v>45661</v>
      </c>
      <c r="B253" t="s">
        <v>302</v>
      </c>
      <c r="C253" t="s">
        <v>115</v>
      </c>
      <c r="D253" t="s">
        <v>42</v>
      </c>
      <c r="E253" s="4">
        <v>1557.18</v>
      </c>
      <c r="F253" s="4">
        <v>225.79</v>
      </c>
      <c r="G253" s="4">
        <v>1342.4</v>
      </c>
      <c r="H253" s="4">
        <v>13.42</v>
      </c>
      <c r="I253" s="4">
        <v>107.39</v>
      </c>
      <c r="J253" s="4">
        <v>73</v>
      </c>
      <c r="K253" s="4">
        <v>1137.57</v>
      </c>
      <c r="L253">
        <f t="shared" si="6"/>
        <v>2025</v>
      </c>
      <c r="M253">
        <f t="shared" si="7"/>
        <v>1</v>
      </c>
    </row>
    <row r="254" spans="1:13" ht="15" customHeight="1" x14ac:dyDescent="0.2">
      <c r="A254" s="3">
        <v>45662</v>
      </c>
      <c r="B254" t="s">
        <v>303</v>
      </c>
      <c r="C254" t="s">
        <v>76</v>
      </c>
      <c r="D254" t="s">
        <v>38</v>
      </c>
      <c r="E254" s="4">
        <v>1595.16</v>
      </c>
      <c r="F254" s="4">
        <v>231.3</v>
      </c>
      <c r="G254" s="4">
        <v>1375.14</v>
      </c>
      <c r="H254" s="4">
        <v>13.75</v>
      </c>
      <c r="I254" s="4">
        <v>110.01</v>
      </c>
      <c r="J254" s="4">
        <v>73</v>
      </c>
      <c r="K254" s="4">
        <v>1167.0999999999999</v>
      </c>
      <c r="L254">
        <f t="shared" si="6"/>
        <v>2025</v>
      </c>
      <c r="M254">
        <f t="shared" si="7"/>
        <v>1</v>
      </c>
    </row>
    <row r="255" spans="1:13" ht="15" customHeight="1" x14ac:dyDescent="0.2">
      <c r="A255" s="3">
        <v>45662</v>
      </c>
      <c r="B255" t="s">
        <v>304</v>
      </c>
      <c r="C255" t="s">
        <v>123</v>
      </c>
      <c r="D255" t="s">
        <v>93</v>
      </c>
      <c r="E255" s="4">
        <v>316.35000000000002</v>
      </c>
      <c r="F255" s="4">
        <v>61.69</v>
      </c>
      <c r="G255" s="4">
        <v>272.72000000000003</v>
      </c>
      <c r="H255" s="4">
        <v>2.73</v>
      </c>
      <c r="I255" s="4">
        <v>21.82</v>
      </c>
      <c r="J255" s="4">
        <v>76</v>
      </c>
      <c r="K255" s="4">
        <v>154.12</v>
      </c>
      <c r="L255">
        <f t="shared" si="6"/>
        <v>2025</v>
      </c>
      <c r="M255">
        <f t="shared" si="7"/>
        <v>1</v>
      </c>
    </row>
    <row r="256" spans="1:13" ht="15" customHeight="1" x14ac:dyDescent="0.2">
      <c r="A256" s="3">
        <v>45664</v>
      </c>
      <c r="B256" t="s">
        <v>305</v>
      </c>
      <c r="C256" t="s">
        <v>76</v>
      </c>
      <c r="D256" t="s">
        <v>29</v>
      </c>
      <c r="E256" s="4">
        <v>1595.16</v>
      </c>
      <c r="F256" s="4">
        <v>231.3</v>
      </c>
      <c r="G256" s="4">
        <v>1375.14</v>
      </c>
      <c r="H256" s="4">
        <v>13.75</v>
      </c>
      <c r="I256" s="4">
        <v>110.01</v>
      </c>
      <c r="J256" s="4">
        <v>73</v>
      </c>
      <c r="K256" s="4">
        <v>1167.0999999999999</v>
      </c>
      <c r="L256">
        <f t="shared" si="6"/>
        <v>2025</v>
      </c>
      <c r="M256">
        <f t="shared" si="7"/>
        <v>1</v>
      </c>
    </row>
    <row r="257" spans="1:13" ht="15" customHeight="1" x14ac:dyDescent="0.2">
      <c r="A257" s="3">
        <v>45664</v>
      </c>
      <c r="B257" t="s">
        <v>306</v>
      </c>
      <c r="C257" t="s">
        <v>307</v>
      </c>
      <c r="D257" t="s">
        <v>140</v>
      </c>
      <c r="E257" s="4">
        <v>314.10000000000002</v>
      </c>
      <c r="F257" s="4">
        <v>61.25</v>
      </c>
      <c r="G257" s="4">
        <v>270.77999999999997</v>
      </c>
      <c r="H257" s="4">
        <v>2.71</v>
      </c>
      <c r="I257" s="4">
        <v>21.66</v>
      </c>
      <c r="J257" s="4">
        <v>63.6</v>
      </c>
      <c r="K257" s="4">
        <v>164.88</v>
      </c>
      <c r="L257">
        <f t="shared" si="6"/>
        <v>2025</v>
      </c>
      <c r="M257">
        <f t="shared" si="7"/>
        <v>1</v>
      </c>
    </row>
    <row r="258" spans="1:13" ht="15" customHeight="1" x14ac:dyDescent="0.2">
      <c r="A258" s="3">
        <v>45665</v>
      </c>
      <c r="B258" t="s">
        <v>308</v>
      </c>
      <c r="C258" t="s">
        <v>115</v>
      </c>
      <c r="D258" t="s">
        <v>126</v>
      </c>
      <c r="E258" s="4">
        <v>1557.18</v>
      </c>
      <c r="F258" s="4">
        <v>225.79</v>
      </c>
      <c r="G258" s="4">
        <v>1342.4</v>
      </c>
      <c r="H258" s="4">
        <v>13.42</v>
      </c>
      <c r="I258" s="4">
        <v>107.39</v>
      </c>
      <c r="J258" s="4">
        <v>73</v>
      </c>
      <c r="K258" s="4">
        <v>1137.57</v>
      </c>
      <c r="L258">
        <f t="shared" ref="L258:L321" si="8">YEAR(A258)</f>
        <v>2025</v>
      </c>
      <c r="M258">
        <f t="shared" ref="M258:M321" si="9">ROUNDUP(MONTH(A258)/3,0)</f>
        <v>1</v>
      </c>
    </row>
    <row r="259" spans="1:13" ht="15" customHeight="1" x14ac:dyDescent="0.2">
      <c r="A259" s="3">
        <v>45670</v>
      </c>
      <c r="B259" t="s">
        <v>309</v>
      </c>
      <c r="C259" t="s">
        <v>115</v>
      </c>
      <c r="D259" t="s">
        <v>42</v>
      </c>
      <c r="E259" s="4">
        <v>1899</v>
      </c>
      <c r="F259" s="4">
        <v>275.36</v>
      </c>
      <c r="G259" s="4">
        <v>1637.07</v>
      </c>
      <c r="H259" s="4">
        <v>16.37</v>
      </c>
      <c r="I259" s="4">
        <v>130.97</v>
      </c>
      <c r="J259" s="4">
        <v>73</v>
      </c>
      <c r="K259" s="4">
        <v>1403.31</v>
      </c>
      <c r="L259">
        <f t="shared" si="8"/>
        <v>2025</v>
      </c>
      <c r="M259">
        <f t="shared" si="9"/>
        <v>1</v>
      </c>
    </row>
    <row r="260" spans="1:13" ht="15" customHeight="1" x14ac:dyDescent="0.2">
      <c r="A260" s="3">
        <v>45671</v>
      </c>
      <c r="B260" t="s">
        <v>310</v>
      </c>
      <c r="C260" t="s">
        <v>115</v>
      </c>
      <c r="D260" t="s">
        <v>38</v>
      </c>
      <c r="E260" s="4">
        <v>1899</v>
      </c>
      <c r="F260" s="4">
        <v>275.36</v>
      </c>
      <c r="G260" s="4">
        <v>1637.07</v>
      </c>
      <c r="H260" s="4">
        <v>16.37</v>
      </c>
      <c r="I260" s="4">
        <v>130.97</v>
      </c>
      <c r="J260" s="4">
        <v>73</v>
      </c>
      <c r="K260" s="4">
        <v>1403.31</v>
      </c>
      <c r="L260">
        <f t="shared" si="8"/>
        <v>2025</v>
      </c>
      <c r="M260">
        <f t="shared" si="9"/>
        <v>1</v>
      </c>
    </row>
    <row r="261" spans="1:13" ht="15" customHeight="1" x14ac:dyDescent="0.2">
      <c r="A261" s="3">
        <v>45673</v>
      </c>
      <c r="B261" t="s">
        <v>311</v>
      </c>
      <c r="C261" t="s">
        <v>76</v>
      </c>
      <c r="D261" t="s">
        <v>24</v>
      </c>
      <c r="E261" s="4">
        <v>1799</v>
      </c>
      <c r="F261" s="4">
        <v>260.86</v>
      </c>
      <c r="G261" s="4">
        <v>1550.86</v>
      </c>
      <c r="H261" s="4">
        <v>15.51</v>
      </c>
      <c r="I261" s="4">
        <v>124.07</v>
      </c>
      <c r="J261" s="4">
        <v>73</v>
      </c>
      <c r="K261" s="4">
        <v>1325.57</v>
      </c>
      <c r="L261">
        <f t="shared" si="8"/>
        <v>2025</v>
      </c>
      <c r="M261">
        <f t="shared" si="9"/>
        <v>1</v>
      </c>
    </row>
    <row r="262" spans="1:13" ht="15" customHeight="1" x14ac:dyDescent="0.2">
      <c r="A262" s="3">
        <v>45673</v>
      </c>
      <c r="B262" t="s">
        <v>312</v>
      </c>
      <c r="C262" t="s">
        <v>313</v>
      </c>
      <c r="D262" t="s">
        <v>314</v>
      </c>
      <c r="E262" s="4">
        <v>2299</v>
      </c>
      <c r="F262" s="4">
        <v>333.36</v>
      </c>
      <c r="G262" s="4">
        <v>1981.9</v>
      </c>
      <c r="H262" s="4">
        <v>19.82</v>
      </c>
      <c r="I262" s="4">
        <v>158.55000000000001</v>
      </c>
      <c r="J262" s="4">
        <v>79.5</v>
      </c>
      <c r="K262" s="4">
        <v>1707.77</v>
      </c>
      <c r="L262">
        <f t="shared" si="8"/>
        <v>2025</v>
      </c>
      <c r="M262">
        <f t="shared" si="9"/>
        <v>1</v>
      </c>
    </row>
    <row r="263" spans="1:13" ht="15" customHeight="1" x14ac:dyDescent="0.2">
      <c r="A263" s="3">
        <v>45674</v>
      </c>
      <c r="B263" t="s">
        <v>315</v>
      </c>
      <c r="C263" t="s">
        <v>90</v>
      </c>
      <c r="D263" t="s">
        <v>316</v>
      </c>
      <c r="E263" s="4">
        <v>299</v>
      </c>
      <c r="F263" s="4">
        <v>43.36</v>
      </c>
      <c r="G263" s="4">
        <v>257.76</v>
      </c>
      <c r="H263" s="4">
        <v>2.58</v>
      </c>
      <c r="I263" s="4">
        <v>20.62</v>
      </c>
      <c r="J263" s="4">
        <v>63.6</v>
      </c>
      <c r="K263" s="4">
        <v>168.85</v>
      </c>
      <c r="L263">
        <f t="shared" si="8"/>
        <v>2025</v>
      </c>
      <c r="M263">
        <f t="shared" si="9"/>
        <v>1</v>
      </c>
    </row>
    <row r="264" spans="1:13" ht="15" customHeight="1" x14ac:dyDescent="0.2">
      <c r="A264" s="3">
        <v>45676</v>
      </c>
      <c r="B264" t="s">
        <v>317</v>
      </c>
      <c r="C264" t="s">
        <v>76</v>
      </c>
      <c r="D264" t="s">
        <v>33</v>
      </c>
      <c r="E264" s="4">
        <v>1799</v>
      </c>
      <c r="F264" s="4">
        <v>260.86</v>
      </c>
      <c r="G264" s="4">
        <v>1550.86</v>
      </c>
      <c r="H264" s="4">
        <v>15.51</v>
      </c>
      <c r="I264" s="4">
        <v>124.07</v>
      </c>
      <c r="J264" s="4">
        <v>73</v>
      </c>
      <c r="K264" s="4">
        <v>1325.57</v>
      </c>
      <c r="L264">
        <f t="shared" si="8"/>
        <v>2025</v>
      </c>
      <c r="M264">
        <f t="shared" si="9"/>
        <v>1</v>
      </c>
    </row>
    <row r="265" spans="1:13" ht="15" customHeight="1" x14ac:dyDescent="0.2">
      <c r="A265" s="3">
        <v>45676</v>
      </c>
      <c r="B265" t="s">
        <v>318</v>
      </c>
      <c r="C265" t="s">
        <v>90</v>
      </c>
      <c r="D265" t="s">
        <v>316</v>
      </c>
      <c r="E265" s="4">
        <v>299</v>
      </c>
      <c r="F265" s="4">
        <v>43.36</v>
      </c>
      <c r="G265" s="4">
        <v>257.76</v>
      </c>
      <c r="H265" s="4">
        <v>2.58</v>
      </c>
      <c r="I265" s="4">
        <v>20.62</v>
      </c>
      <c r="J265" s="4">
        <v>63.6</v>
      </c>
      <c r="K265" s="4">
        <v>168.85</v>
      </c>
      <c r="L265">
        <f t="shared" si="8"/>
        <v>2025</v>
      </c>
      <c r="M265">
        <f t="shared" si="9"/>
        <v>1</v>
      </c>
    </row>
    <row r="266" spans="1:13" ht="15" customHeight="1" x14ac:dyDescent="0.2">
      <c r="A266" s="3">
        <v>45677</v>
      </c>
      <c r="B266" t="s">
        <v>319</v>
      </c>
      <c r="C266" t="s">
        <v>90</v>
      </c>
      <c r="D266" t="s">
        <v>81</v>
      </c>
      <c r="E266" s="4">
        <v>299</v>
      </c>
      <c r="F266" s="4">
        <v>43.36</v>
      </c>
      <c r="G266" s="4">
        <v>257.76</v>
      </c>
      <c r="H266" s="4">
        <v>2.58</v>
      </c>
      <c r="I266" s="4">
        <v>20.62</v>
      </c>
      <c r="J266" s="4">
        <v>63.6</v>
      </c>
      <c r="K266" s="4">
        <v>168.85</v>
      </c>
      <c r="L266">
        <f t="shared" si="8"/>
        <v>2025</v>
      </c>
      <c r="M266">
        <f t="shared" si="9"/>
        <v>1</v>
      </c>
    </row>
    <row r="267" spans="1:13" ht="15" customHeight="1" x14ac:dyDescent="0.2">
      <c r="A267" s="3">
        <v>45678</v>
      </c>
      <c r="B267" t="s">
        <v>320</v>
      </c>
      <c r="C267" t="s">
        <v>76</v>
      </c>
      <c r="D267" t="s">
        <v>21</v>
      </c>
      <c r="E267" s="4">
        <v>1799</v>
      </c>
      <c r="F267" s="4">
        <v>260.86</v>
      </c>
      <c r="G267" s="4">
        <v>1550.86</v>
      </c>
      <c r="H267" s="4">
        <v>15.51</v>
      </c>
      <c r="I267" s="4">
        <v>124.07</v>
      </c>
      <c r="J267" s="4">
        <v>73</v>
      </c>
      <c r="K267" s="4">
        <v>1325.57</v>
      </c>
      <c r="L267">
        <f t="shared" si="8"/>
        <v>2025</v>
      </c>
      <c r="M267">
        <f t="shared" si="9"/>
        <v>1</v>
      </c>
    </row>
    <row r="268" spans="1:13" ht="15" customHeight="1" x14ac:dyDescent="0.2">
      <c r="A268" s="3">
        <v>45679</v>
      </c>
      <c r="B268" t="s">
        <v>321</v>
      </c>
      <c r="C268" t="s">
        <v>76</v>
      </c>
      <c r="D268" t="s">
        <v>35</v>
      </c>
      <c r="E268" s="4">
        <v>1799</v>
      </c>
      <c r="F268" s="4">
        <v>260.86</v>
      </c>
      <c r="G268" s="4">
        <v>1550.86</v>
      </c>
      <c r="H268" s="4">
        <v>15.51</v>
      </c>
      <c r="I268" s="4">
        <v>124.07</v>
      </c>
      <c r="J268" s="4">
        <v>73</v>
      </c>
      <c r="K268" s="4">
        <v>1325.57</v>
      </c>
      <c r="L268">
        <f t="shared" si="8"/>
        <v>2025</v>
      </c>
      <c r="M268">
        <f t="shared" si="9"/>
        <v>1</v>
      </c>
    </row>
    <row r="269" spans="1:13" ht="15" customHeight="1" x14ac:dyDescent="0.2">
      <c r="A269" s="3">
        <v>45682</v>
      </c>
      <c r="B269" t="s">
        <v>322</v>
      </c>
      <c r="C269" t="s">
        <v>90</v>
      </c>
      <c r="D269" t="s">
        <v>77</v>
      </c>
      <c r="E269" s="4">
        <v>339</v>
      </c>
      <c r="F269" s="4">
        <v>49.16</v>
      </c>
      <c r="G269" s="4">
        <v>292.24</v>
      </c>
      <c r="H269" s="4">
        <v>2.92</v>
      </c>
      <c r="I269" s="4">
        <v>23.38</v>
      </c>
      <c r="J269" s="4">
        <v>63.6</v>
      </c>
      <c r="K269" s="4">
        <v>199.94</v>
      </c>
      <c r="L269">
        <f t="shared" si="8"/>
        <v>2025</v>
      </c>
      <c r="M269">
        <f t="shared" si="9"/>
        <v>1</v>
      </c>
    </row>
    <row r="270" spans="1:13" ht="15" customHeight="1" x14ac:dyDescent="0.2">
      <c r="A270" s="3">
        <v>45683</v>
      </c>
      <c r="B270" t="s">
        <v>323</v>
      </c>
      <c r="C270" t="s">
        <v>31</v>
      </c>
      <c r="D270" t="s">
        <v>49</v>
      </c>
      <c r="E270" s="4">
        <v>1699</v>
      </c>
      <c r="F270" s="4">
        <v>246.36</v>
      </c>
      <c r="G270" s="4">
        <v>1464.66</v>
      </c>
      <c r="H270" s="4">
        <v>14.65</v>
      </c>
      <c r="I270" s="4">
        <v>117.17</v>
      </c>
      <c r="J270" s="4">
        <v>73</v>
      </c>
      <c r="K270" s="4">
        <v>1247.83</v>
      </c>
      <c r="L270">
        <f t="shared" si="8"/>
        <v>2025</v>
      </c>
      <c r="M270">
        <f t="shared" si="9"/>
        <v>1</v>
      </c>
    </row>
    <row r="271" spans="1:13" ht="15" customHeight="1" x14ac:dyDescent="0.2">
      <c r="A271" s="3">
        <v>45683</v>
      </c>
      <c r="B271" t="s">
        <v>320</v>
      </c>
      <c r="C271" t="s">
        <v>90</v>
      </c>
      <c r="D271" t="s">
        <v>21</v>
      </c>
      <c r="E271" s="4">
        <v>598</v>
      </c>
      <c r="F271" s="4">
        <v>86.71</v>
      </c>
      <c r="G271" s="4">
        <v>515.52</v>
      </c>
      <c r="H271" s="4">
        <v>5.16</v>
      </c>
      <c r="I271" s="4">
        <v>41.24</v>
      </c>
      <c r="J271" s="4">
        <v>127.2</v>
      </c>
      <c r="K271" s="4">
        <v>337.69</v>
      </c>
      <c r="L271">
        <f t="shared" si="8"/>
        <v>2025</v>
      </c>
      <c r="M271">
        <f t="shared" si="9"/>
        <v>1</v>
      </c>
    </row>
    <row r="272" spans="1:13" ht="15" customHeight="1" x14ac:dyDescent="0.2">
      <c r="A272" s="3">
        <v>45686</v>
      </c>
      <c r="B272" t="s">
        <v>324</v>
      </c>
      <c r="C272" t="s">
        <v>187</v>
      </c>
      <c r="D272" t="s">
        <v>33</v>
      </c>
      <c r="E272" s="4">
        <v>314.10000000000002</v>
      </c>
      <c r="F272" s="4">
        <v>61.25</v>
      </c>
      <c r="G272" s="4">
        <v>270.77999999999997</v>
      </c>
      <c r="H272" s="4">
        <v>2.71</v>
      </c>
      <c r="I272" s="4">
        <v>21.66</v>
      </c>
      <c r="J272" s="4">
        <v>63.6</v>
      </c>
      <c r="K272" s="4">
        <v>164.88</v>
      </c>
      <c r="L272">
        <f t="shared" si="8"/>
        <v>2025</v>
      </c>
      <c r="M272">
        <f t="shared" si="9"/>
        <v>1</v>
      </c>
    </row>
    <row r="273" spans="1:13" ht="15" customHeight="1" x14ac:dyDescent="0.2">
      <c r="A273" s="3">
        <v>45686</v>
      </c>
      <c r="B273" t="s">
        <v>325</v>
      </c>
      <c r="C273" t="s">
        <v>253</v>
      </c>
      <c r="D273" t="s">
        <v>49</v>
      </c>
      <c r="E273" s="4">
        <v>314.10000000000002</v>
      </c>
      <c r="F273" s="4">
        <v>61.25</v>
      </c>
      <c r="G273" s="4">
        <v>270.77999999999997</v>
      </c>
      <c r="H273" s="4">
        <v>2.71</v>
      </c>
      <c r="I273" s="4">
        <v>21.66</v>
      </c>
      <c r="J273" s="4">
        <v>63.6</v>
      </c>
      <c r="K273" s="4">
        <v>164.88</v>
      </c>
      <c r="L273">
        <f t="shared" si="8"/>
        <v>2025</v>
      </c>
      <c r="M273">
        <f t="shared" si="9"/>
        <v>1</v>
      </c>
    </row>
    <row r="274" spans="1:13" ht="15" customHeight="1" x14ac:dyDescent="0.2">
      <c r="A274" s="3">
        <v>45687</v>
      </c>
      <c r="B274" t="s">
        <v>326</v>
      </c>
      <c r="C274" t="s">
        <v>90</v>
      </c>
      <c r="D274" t="s">
        <v>29</v>
      </c>
      <c r="E274" s="4">
        <v>299</v>
      </c>
      <c r="F274" s="4">
        <v>43.36</v>
      </c>
      <c r="G274" s="4">
        <v>257.76</v>
      </c>
      <c r="H274" s="4">
        <v>2.58</v>
      </c>
      <c r="I274" s="4">
        <v>20.62</v>
      </c>
      <c r="J274" s="4">
        <v>63.6</v>
      </c>
      <c r="K274" s="4">
        <v>168.85</v>
      </c>
      <c r="L274">
        <f t="shared" si="8"/>
        <v>2025</v>
      </c>
      <c r="M274">
        <f t="shared" si="9"/>
        <v>1</v>
      </c>
    </row>
    <row r="275" spans="1:13" ht="15" customHeight="1" x14ac:dyDescent="0.2">
      <c r="A275" s="3">
        <v>45688</v>
      </c>
      <c r="B275" t="s">
        <v>327</v>
      </c>
      <c r="C275" t="s">
        <v>31</v>
      </c>
      <c r="D275" t="s">
        <v>40</v>
      </c>
      <c r="E275" s="4">
        <v>1699</v>
      </c>
      <c r="F275" s="4">
        <v>246.36</v>
      </c>
      <c r="G275" s="4">
        <v>1464.66</v>
      </c>
      <c r="H275" s="4">
        <v>14.65</v>
      </c>
      <c r="I275" s="4">
        <v>117.17</v>
      </c>
      <c r="J275" s="4">
        <v>73</v>
      </c>
      <c r="K275" s="4">
        <v>1247.83</v>
      </c>
      <c r="L275">
        <f t="shared" si="8"/>
        <v>2025</v>
      </c>
      <c r="M275">
        <f t="shared" si="9"/>
        <v>1</v>
      </c>
    </row>
    <row r="276" spans="1:13" ht="15" customHeight="1" x14ac:dyDescent="0.2">
      <c r="A276" s="3">
        <v>45690</v>
      </c>
      <c r="B276" t="s">
        <v>328</v>
      </c>
      <c r="C276" t="s">
        <v>67</v>
      </c>
      <c r="D276" t="s">
        <v>232</v>
      </c>
      <c r="E276" s="4">
        <v>1849</v>
      </c>
      <c r="F276" s="4">
        <v>268.11</v>
      </c>
      <c r="G276" s="4">
        <v>1593.97</v>
      </c>
      <c r="H276" s="4">
        <v>15.94</v>
      </c>
      <c r="I276" s="4">
        <v>127.52</v>
      </c>
      <c r="J276" s="4">
        <v>79.5</v>
      </c>
      <c r="K276" s="4">
        <v>1357.94</v>
      </c>
      <c r="L276">
        <f t="shared" si="8"/>
        <v>2025</v>
      </c>
      <c r="M276">
        <f t="shared" si="9"/>
        <v>1</v>
      </c>
    </row>
    <row r="277" spans="1:13" ht="15" customHeight="1" x14ac:dyDescent="0.2">
      <c r="A277" s="3">
        <v>45693</v>
      </c>
      <c r="B277" t="s">
        <v>329</v>
      </c>
      <c r="C277" t="s">
        <v>31</v>
      </c>
      <c r="D277" t="s">
        <v>38</v>
      </c>
      <c r="E277" s="4">
        <v>1699</v>
      </c>
      <c r="F277" s="4">
        <v>246.36</v>
      </c>
      <c r="G277" s="4">
        <v>1464.66</v>
      </c>
      <c r="H277" s="4">
        <v>14.65</v>
      </c>
      <c r="I277" s="4">
        <v>117.17</v>
      </c>
      <c r="J277" s="4">
        <v>73</v>
      </c>
      <c r="K277" s="4">
        <v>1247.83</v>
      </c>
      <c r="L277">
        <f t="shared" si="8"/>
        <v>2025</v>
      </c>
      <c r="M277">
        <f t="shared" si="9"/>
        <v>1</v>
      </c>
    </row>
    <row r="278" spans="1:13" ht="15" customHeight="1" x14ac:dyDescent="0.2">
      <c r="A278" s="3">
        <v>45693</v>
      </c>
      <c r="B278" t="s">
        <v>330</v>
      </c>
      <c r="C278" t="s">
        <v>79</v>
      </c>
      <c r="D278" t="s">
        <v>93</v>
      </c>
      <c r="E278" s="4">
        <v>314.10000000000002</v>
      </c>
      <c r="F278" s="4">
        <v>61.25</v>
      </c>
      <c r="G278" s="4">
        <v>270.77999999999997</v>
      </c>
      <c r="H278" s="4">
        <v>2.71</v>
      </c>
      <c r="I278" s="4">
        <v>21.66</v>
      </c>
      <c r="J278" s="4">
        <v>63.6</v>
      </c>
      <c r="K278" s="4">
        <v>164.88</v>
      </c>
      <c r="L278">
        <f t="shared" si="8"/>
        <v>2025</v>
      </c>
      <c r="M278">
        <f t="shared" si="9"/>
        <v>1</v>
      </c>
    </row>
    <row r="279" spans="1:13" ht="15" customHeight="1" x14ac:dyDescent="0.2">
      <c r="A279" s="3">
        <v>45693</v>
      </c>
      <c r="B279" t="s">
        <v>331</v>
      </c>
      <c r="C279" t="s">
        <v>187</v>
      </c>
      <c r="D279" t="s">
        <v>49</v>
      </c>
      <c r="E279" s="4">
        <v>314.10000000000002</v>
      </c>
      <c r="F279" s="4">
        <v>61.25</v>
      </c>
      <c r="G279" s="4">
        <v>270.77999999999997</v>
      </c>
      <c r="H279" s="4">
        <v>2.71</v>
      </c>
      <c r="I279" s="4">
        <v>21.66</v>
      </c>
      <c r="J279" s="4">
        <v>63.6</v>
      </c>
      <c r="K279" s="4">
        <v>164.88</v>
      </c>
      <c r="L279">
        <f t="shared" si="8"/>
        <v>2025</v>
      </c>
      <c r="M279">
        <f t="shared" si="9"/>
        <v>1</v>
      </c>
    </row>
    <row r="280" spans="1:13" ht="15" customHeight="1" x14ac:dyDescent="0.2">
      <c r="A280" s="3">
        <v>45693</v>
      </c>
      <c r="B280" t="s">
        <v>332</v>
      </c>
      <c r="C280" t="s">
        <v>333</v>
      </c>
      <c r="D280" t="s">
        <v>93</v>
      </c>
      <c r="E280" s="4">
        <v>399</v>
      </c>
      <c r="F280" s="4">
        <v>57.86</v>
      </c>
      <c r="G280" s="4">
        <v>343.97</v>
      </c>
      <c r="H280" s="4">
        <v>3.44</v>
      </c>
      <c r="I280" s="4">
        <v>27.52</v>
      </c>
      <c r="J280" s="4">
        <v>63.6</v>
      </c>
      <c r="K280" s="4">
        <v>246.59</v>
      </c>
      <c r="L280">
        <f t="shared" si="8"/>
        <v>2025</v>
      </c>
      <c r="M280">
        <f t="shared" si="9"/>
        <v>1</v>
      </c>
    </row>
    <row r="281" spans="1:13" ht="15" customHeight="1" x14ac:dyDescent="0.2">
      <c r="A281" s="3">
        <v>45705</v>
      </c>
      <c r="B281" t="s">
        <v>334</v>
      </c>
      <c r="C281" t="s">
        <v>253</v>
      </c>
      <c r="D281" t="s">
        <v>232</v>
      </c>
      <c r="E281" s="4">
        <v>314.10000000000002</v>
      </c>
      <c r="F281" s="4">
        <v>61.25</v>
      </c>
      <c r="G281" s="4">
        <v>270.77999999999997</v>
      </c>
      <c r="H281" s="4">
        <v>2.71</v>
      </c>
      <c r="I281" s="4">
        <v>21.66</v>
      </c>
      <c r="J281" s="4">
        <v>63.6</v>
      </c>
      <c r="K281" s="4">
        <v>164.88</v>
      </c>
      <c r="L281">
        <f t="shared" si="8"/>
        <v>2025</v>
      </c>
      <c r="M281">
        <f t="shared" si="9"/>
        <v>1</v>
      </c>
    </row>
    <row r="282" spans="1:13" ht="15" customHeight="1" x14ac:dyDescent="0.2">
      <c r="A282" s="3">
        <v>45705</v>
      </c>
      <c r="B282" t="s">
        <v>335</v>
      </c>
      <c r="C282" t="s">
        <v>307</v>
      </c>
      <c r="D282" t="s">
        <v>77</v>
      </c>
      <c r="E282" s="4">
        <v>314.10000000000002</v>
      </c>
      <c r="F282" s="4">
        <v>61.25</v>
      </c>
      <c r="G282" s="4">
        <v>270.77999999999997</v>
      </c>
      <c r="H282" s="4">
        <v>2.71</v>
      </c>
      <c r="I282" s="4">
        <v>21.66</v>
      </c>
      <c r="J282" s="4">
        <v>63.6</v>
      </c>
      <c r="K282" s="4">
        <v>164.88</v>
      </c>
      <c r="L282">
        <f t="shared" si="8"/>
        <v>2025</v>
      </c>
      <c r="M282">
        <f t="shared" si="9"/>
        <v>1</v>
      </c>
    </row>
    <row r="283" spans="1:13" ht="15" customHeight="1" x14ac:dyDescent="0.2">
      <c r="A283" s="3">
        <v>45705</v>
      </c>
      <c r="B283" t="s">
        <v>336</v>
      </c>
      <c r="C283" t="s">
        <v>187</v>
      </c>
      <c r="D283" t="s">
        <v>38</v>
      </c>
      <c r="E283" s="4">
        <v>314.10000000000002</v>
      </c>
      <c r="F283" s="4">
        <v>61.25</v>
      </c>
      <c r="G283" s="4">
        <v>270.77999999999997</v>
      </c>
      <c r="H283" s="4">
        <v>2.71</v>
      </c>
      <c r="I283" s="4">
        <v>21.66</v>
      </c>
      <c r="J283" s="4">
        <v>63.6</v>
      </c>
      <c r="K283" s="4">
        <v>164.88</v>
      </c>
      <c r="L283">
        <f t="shared" si="8"/>
        <v>2025</v>
      </c>
      <c r="M283">
        <f t="shared" si="9"/>
        <v>1</v>
      </c>
    </row>
    <row r="284" spans="1:13" ht="15" customHeight="1" x14ac:dyDescent="0.2">
      <c r="A284" s="3">
        <v>45706</v>
      </c>
      <c r="B284" t="s">
        <v>163</v>
      </c>
      <c r="C284" t="s">
        <v>76</v>
      </c>
      <c r="D284" t="s">
        <v>164</v>
      </c>
      <c r="E284" s="4">
        <v>1899</v>
      </c>
      <c r="F284" s="4">
        <v>275.36</v>
      </c>
      <c r="G284" s="4">
        <v>1637.07</v>
      </c>
      <c r="H284" s="4">
        <v>16.37</v>
      </c>
      <c r="I284" s="4">
        <v>130.97</v>
      </c>
      <c r="J284" s="4">
        <v>73</v>
      </c>
      <c r="K284" s="4">
        <v>1403.31</v>
      </c>
      <c r="L284">
        <f t="shared" si="8"/>
        <v>2025</v>
      </c>
      <c r="M284">
        <f t="shared" si="9"/>
        <v>1</v>
      </c>
    </row>
    <row r="285" spans="1:13" ht="15" customHeight="1" x14ac:dyDescent="0.2">
      <c r="A285" s="3">
        <v>45707</v>
      </c>
      <c r="B285" t="s">
        <v>337</v>
      </c>
      <c r="C285" t="s">
        <v>31</v>
      </c>
      <c r="D285" t="s">
        <v>38</v>
      </c>
      <c r="E285" s="4">
        <v>1699</v>
      </c>
      <c r="F285" s="4">
        <v>246.36</v>
      </c>
      <c r="G285" s="4">
        <v>1464.66</v>
      </c>
      <c r="H285" s="4">
        <v>14.65</v>
      </c>
      <c r="I285" s="4">
        <v>117.17</v>
      </c>
      <c r="J285" s="4">
        <v>73</v>
      </c>
      <c r="K285" s="4">
        <v>1247.83</v>
      </c>
      <c r="L285">
        <f t="shared" si="8"/>
        <v>2025</v>
      </c>
      <c r="M285">
        <f t="shared" si="9"/>
        <v>1</v>
      </c>
    </row>
    <row r="286" spans="1:13" ht="15" customHeight="1" x14ac:dyDescent="0.2">
      <c r="A286" s="3">
        <v>45707</v>
      </c>
      <c r="B286" t="s">
        <v>338</v>
      </c>
      <c r="C286" t="s">
        <v>31</v>
      </c>
      <c r="D286" t="s">
        <v>40</v>
      </c>
      <c r="E286" s="4">
        <v>1699</v>
      </c>
      <c r="F286" s="4">
        <v>246.36</v>
      </c>
      <c r="G286" s="4">
        <v>1464.66</v>
      </c>
      <c r="H286" s="4">
        <v>14.65</v>
      </c>
      <c r="I286" s="4">
        <v>117.17</v>
      </c>
      <c r="J286" s="4">
        <v>73</v>
      </c>
      <c r="K286" s="4">
        <v>1247.83</v>
      </c>
      <c r="L286">
        <f t="shared" si="8"/>
        <v>2025</v>
      </c>
      <c r="M286">
        <f t="shared" si="9"/>
        <v>1</v>
      </c>
    </row>
    <row r="287" spans="1:13" ht="15" customHeight="1" x14ac:dyDescent="0.2">
      <c r="A287" s="3">
        <v>45708</v>
      </c>
      <c r="B287" t="s">
        <v>339</v>
      </c>
      <c r="C287" t="s">
        <v>115</v>
      </c>
      <c r="D287" t="s">
        <v>24</v>
      </c>
      <c r="E287" s="4">
        <v>1999</v>
      </c>
      <c r="F287" s="4">
        <v>289.86</v>
      </c>
      <c r="G287" s="4">
        <v>1723.28</v>
      </c>
      <c r="H287" s="4">
        <v>17.23</v>
      </c>
      <c r="I287" s="4">
        <v>137.86000000000001</v>
      </c>
      <c r="J287" s="4">
        <v>73</v>
      </c>
      <c r="K287" s="4">
        <v>1481.05</v>
      </c>
      <c r="L287">
        <f t="shared" si="8"/>
        <v>2025</v>
      </c>
      <c r="M287">
        <f t="shared" si="9"/>
        <v>1</v>
      </c>
    </row>
    <row r="288" spans="1:13" ht="15" customHeight="1" x14ac:dyDescent="0.2">
      <c r="A288" s="3">
        <v>45709</v>
      </c>
      <c r="B288" t="s">
        <v>340</v>
      </c>
      <c r="C288" t="s">
        <v>131</v>
      </c>
      <c r="D288" t="s">
        <v>85</v>
      </c>
      <c r="E288" s="4">
        <v>1913.13</v>
      </c>
      <c r="F288" s="4">
        <v>277.39999999999998</v>
      </c>
      <c r="G288" s="4">
        <v>1649.25</v>
      </c>
      <c r="H288" s="4">
        <v>16.489999999999998</v>
      </c>
      <c r="I288" s="4">
        <v>131.94</v>
      </c>
      <c r="J288" s="4">
        <v>95</v>
      </c>
      <c r="K288" s="4">
        <v>1392.29</v>
      </c>
      <c r="L288">
        <f t="shared" si="8"/>
        <v>2025</v>
      </c>
      <c r="M288">
        <f t="shared" si="9"/>
        <v>1</v>
      </c>
    </row>
    <row r="289" spans="1:13" ht="15" customHeight="1" x14ac:dyDescent="0.2">
      <c r="A289" s="3">
        <v>45710</v>
      </c>
      <c r="B289" t="s">
        <v>341</v>
      </c>
      <c r="C289" t="s">
        <v>31</v>
      </c>
      <c r="D289" t="s">
        <v>129</v>
      </c>
      <c r="E289" s="4">
        <v>1699</v>
      </c>
      <c r="F289" s="4">
        <v>246.36</v>
      </c>
      <c r="G289" s="4">
        <v>1464.66</v>
      </c>
      <c r="H289" s="4">
        <v>14.65</v>
      </c>
      <c r="I289" s="4">
        <v>117.17</v>
      </c>
      <c r="J289" s="4">
        <v>73</v>
      </c>
      <c r="K289" s="4">
        <v>1247.83</v>
      </c>
      <c r="L289">
        <f t="shared" si="8"/>
        <v>2025</v>
      </c>
      <c r="M289">
        <f t="shared" si="9"/>
        <v>1</v>
      </c>
    </row>
    <row r="290" spans="1:13" ht="15" customHeight="1" x14ac:dyDescent="0.2">
      <c r="A290" s="3">
        <v>45711</v>
      </c>
      <c r="B290" t="s">
        <v>342</v>
      </c>
      <c r="C290" t="s">
        <v>92</v>
      </c>
      <c r="D290" t="s">
        <v>65</v>
      </c>
      <c r="E290" s="4">
        <v>299</v>
      </c>
      <c r="F290" s="4">
        <v>58.31</v>
      </c>
      <c r="G290" s="4">
        <v>257.76</v>
      </c>
      <c r="H290" s="4">
        <v>2.58</v>
      </c>
      <c r="I290" s="4">
        <v>20.62</v>
      </c>
      <c r="J290" s="4">
        <v>80</v>
      </c>
      <c r="K290" s="4">
        <v>137.5</v>
      </c>
      <c r="L290">
        <f t="shared" si="8"/>
        <v>2025</v>
      </c>
      <c r="M290">
        <f t="shared" si="9"/>
        <v>1</v>
      </c>
    </row>
    <row r="291" spans="1:13" ht="15" customHeight="1" x14ac:dyDescent="0.2">
      <c r="A291" s="3">
        <v>45711</v>
      </c>
      <c r="B291" t="s">
        <v>343</v>
      </c>
      <c r="C291" t="s">
        <v>31</v>
      </c>
      <c r="D291" t="s">
        <v>38</v>
      </c>
      <c r="E291" s="4">
        <v>1699</v>
      </c>
      <c r="F291" s="4">
        <v>246.36</v>
      </c>
      <c r="G291" s="4">
        <v>1464.66</v>
      </c>
      <c r="H291" s="4">
        <v>14.65</v>
      </c>
      <c r="I291" s="4">
        <v>117.17</v>
      </c>
      <c r="J291" s="4">
        <v>73</v>
      </c>
      <c r="K291" s="4">
        <v>1247.83</v>
      </c>
      <c r="L291">
        <f t="shared" si="8"/>
        <v>2025</v>
      </c>
      <c r="M291">
        <f t="shared" si="9"/>
        <v>1</v>
      </c>
    </row>
    <row r="292" spans="1:13" ht="15" customHeight="1" x14ac:dyDescent="0.2">
      <c r="A292" s="3">
        <v>45712</v>
      </c>
      <c r="B292" t="s">
        <v>344</v>
      </c>
      <c r="C292" t="s">
        <v>31</v>
      </c>
      <c r="D292" t="s">
        <v>93</v>
      </c>
      <c r="E292" s="4">
        <v>1699</v>
      </c>
      <c r="F292" s="4">
        <v>246.36</v>
      </c>
      <c r="G292" s="4">
        <v>1464.66</v>
      </c>
      <c r="H292" s="4">
        <v>14.65</v>
      </c>
      <c r="I292" s="4">
        <v>117.17</v>
      </c>
      <c r="J292" s="4">
        <v>73</v>
      </c>
      <c r="K292" s="4">
        <v>1247.83</v>
      </c>
      <c r="L292">
        <f t="shared" si="8"/>
        <v>2025</v>
      </c>
      <c r="M292">
        <f t="shared" si="9"/>
        <v>1</v>
      </c>
    </row>
    <row r="293" spans="1:13" ht="15" customHeight="1" x14ac:dyDescent="0.2">
      <c r="A293" s="3">
        <v>45714</v>
      </c>
      <c r="B293" t="s">
        <v>345</v>
      </c>
      <c r="C293" t="s">
        <v>67</v>
      </c>
      <c r="D293" t="s">
        <v>24</v>
      </c>
      <c r="E293" s="4">
        <v>1849</v>
      </c>
      <c r="F293" s="4">
        <v>268.11</v>
      </c>
      <c r="G293" s="4">
        <v>1593.97</v>
      </c>
      <c r="H293" s="4">
        <v>15.94</v>
      </c>
      <c r="I293" s="4">
        <v>127.52</v>
      </c>
      <c r="J293" s="4">
        <v>79.5</v>
      </c>
      <c r="K293" s="4">
        <v>1357.94</v>
      </c>
      <c r="L293">
        <f t="shared" si="8"/>
        <v>2025</v>
      </c>
      <c r="M293">
        <f t="shared" si="9"/>
        <v>1</v>
      </c>
    </row>
    <row r="294" spans="1:13" ht="15" customHeight="1" x14ac:dyDescent="0.2">
      <c r="A294" s="3">
        <v>45714</v>
      </c>
      <c r="B294" t="s">
        <v>342</v>
      </c>
      <c r="C294" t="s">
        <v>92</v>
      </c>
      <c r="D294" t="s">
        <v>65</v>
      </c>
      <c r="E294" s="4">
        <v>299</v>
      </c>
      <c r="F294" s="4">
        <v>58.31</v>
      </c>
      <c r="G294" s="4">
        <v>257.76</v>
      </c>
      <c r="H294" s="4">
        <v>2.58</v>
      </c>
      <c r="I294" s="4">
        <v>20.62</v>
      </c>
      <c r="J294" s="4">
        <v>80</v>
      </c>
      <c r="K294" s="4">
        <v>137.5</v>
      </c>
      <c r="L294">
        <f t="shared" si="8"/>
        <v>2025</v>
      </c>
      <c r="M294">
        <f t="shared" si="9"/>
        <v>1</v>
      </c>
    </row>
    <row r="295" spans="1:13" ht="15" customHeight="1" x14ac:dyDescent="0.2">
      <c r="A295" s="3">
        <v>45716</v>
      </c>
      <c r="B295" t="s">
        <v>346</v>
      </c>
      <c r="C295" t="s">
        <v>52</v>
      </c>
      <c r="D295" t="s">
        <v>42</v>
      </c>
      <c r="E295" s="4">
        <v>299</v>
      </c>
      <c r="F295" s="4">
        <v>58.31</v>
      </c>
      <c r="G295" s="4">
        <v>257.76</v>
      </c>
      <c r="H295" s="4">
        <v>2.58</v>
      </c>
      <c r="I295" s="4">
        <v>20.62</v>
      </c>
      <c r="J295" s="4">
        <v>76</v>
      </c>
      <c r="K295" s="4">
        <v>141.5</v>
      </c>
      <c r="L295">
        <f t="shared" si="8"/>
        <v>2025</v>
      </c>
      <c r="M295">
        <f t="shared" si="9"/>
        <v>1</v>
      </c>
    </row>
    <row r="296" spans="1:13" ht="15" customHeight="1" x14ac:dyDescent="0.2">
      <c r="A296" s="3">
        <v>45716</v>
      </c>
      <c r="B296" t="s">
        <v>347</v>
      </c>
      <c r="C296" t="s">
        <v>76</v>
      </c>
      <c r="D296" t="s">
        <v>40</v>
      </c>
      <c r="E296" s="4">
        <v>1999</v>
      </c>
      <c r="F296" s="4">
        <v>289.86</v>
      </c>
      <c r="G296" s="4">
        <v>1723.28</v>
      </c>
      <c r="H296" s="4">
        <v>17.23</v>
      </c>
      <c r="I296" s="4">
        <v>137.86000000000001</v>
      </c>
      <c r="J296" s="4">
        <v>73</v>
      </c>
      <c r="K296" s="4">
        <v>1481.05</v>
      </c>
      <c r="L296">
        <f t="shared" si="8"/>
        <v>2025</v>
      </c>
      <c r="M296">
        <f t="shared" si="9"/>
        <v>1</v>
      </c>
    </row>
    <row r="297" spans="1:13" ht="15" customHeight="1" x14ac:dyDescent="0.2">
      <c r="A297" s="3">
        <v>45717</v>
      </c>
      <c r="B297" t="s">
        <v>348</v>
      </c>
      <c r="C297" t="s">
        <v>31</v>
      </c>
      <c r="D297" t="s">
        <v>53</v>
      </c>
      <c r="E297" s="4">
        <v>1699</v>
      </c>
      <c r="F297" s="4">
        <v>246.36</v>
      </c>
      <c r="G297" s="4">
        <v>1464.66</v>
      </c>
      <c r="H297" s="4">
        <v>14.65</v>
      </c>
      <c r="I297" s="4">
        <v>117.17</v>
      </c>
      <c r="J297" s="4">
        <v>73</v>
      </c>
      <c r="K297" s="4">
        <v>1247.83</v>
      </c>
      <c r="L297">
        <f t="shared" si="8"/>
        <v>2025</v>
      </c>
      <c r="M297">
        <f t="shared" si="9"/>
        <v>1</v>
      </c>
    </row>
    <row r="298" spans="1:13" ht="15" customHeight="1" x14ac:dyDescent="0.2">
      <c r="A298" s="3">
        <v>45717</v>
      </c>
      <c r="B298" t="s">
        <v>349</v>
      </c>
      <c r="C298" t="s">
        <v>31</v>
      </c>
      <c r="D298" t="s">
        <v>215</v>
      </c>
      <c r="E298" s="4">
        <v>1699</v>
      </c>
      <c r="F298" s="4">
        <v>246.36</v>
      </c>
      <c r="G298" s="4">
        <v>1464.66</v>
      </c>
      <c r="H298" s="4">
        <v>14.65</v>
      </c>
      <c r="I298" s="4">
        <v>117.17</v>
      </c>
      <c r="J298" s="4">
        <v>73</v>
      </c>
      <c r="K298" s="4">
        <v>1247.83</v>
      </c>
      <c r="L298">
        <f t="shared" si="8"/>
        <v>2025</v>
      </c>
      <c r="M298">
        <f t="shared" si="9"/>
        <v>1</v>
      </c>
    </row>
    <row r="299" spans="1:13" ht="15" customHeight="1" x14ac:dyDescent="0.2">
      <c r="A299" s="3">
        <v>45718</v>
      </c>
      <c r="B299" t="s">
        <v>350</v>
      </c>
      <c r="C299" t="s">
        <v>351</v>
      </c>
      <c r="D299" t="s">
        <v>35</v>
      </c>
      <c r="E299" s="4">
        <v>89</v>
      </c>
      <c r="F299" s="4">
        <v>45.36</v>
      </c>
      <c r="G299" s="4">
        <v>76.72</v>
      </c>
      <c r="H299" s="4">
        <v>0.77</v>
      </c>
      <c r="I299" s="4">
        <v>6.14</v>
      </c>
      <c r="J299" s="4">
        <v>0</v>
      </c>
      <c r="K299" s="4">
        <v>36.729999999999997</v>
      </c>
      <c r="L299">
        <f t="shared" si="8"/>
        <v>2025</v>
      </c>
      <c r="M299">
        <f t="shared" si="9"/>
        <v>1</v>
      </c>
    </row>
    <row r="300" spans="1:13" ht="15" customHeight="1" x14ac:dyDescent="0.2">
      <c r="A300" s="3">
        <v>45719</v>
      </c>
      <c r="B300" t="s">
        <v>352</v>
      </c>
      <c r="C300" t="s">
        <v>31</v>
      </c>
      <c r="D300" t="s">
        <v>35</v>
      </c>
      <c r="E300" s="4">
        <v>1799</v>
      </c>
      <c r="F300" s="4">
        <v>260.86</v>
      </c>
      <c r="G300" s="4">
        <v>1550.86</v>
      </c>
      <c r="H300" s="4">
        <v>15.51</v>
      </c>
      <c r="I300" s="4">
        <v>124.07</v>
      </c>
      <c r="J300" s="4">
        <v>73</v>
      </c>
      <c r="K300" s="4">
        <v>1325.57</v>
      </c>
      <c r="L300">
        <f t="shared" si="8"/>
        <v>2025</v>
      </c>
      <c r="M300">
        <f t="shared" si="9"/>
        <v>1</v>
      </c>
    </row>
    <row r="301" spans="1:13" ht="15" customHeight="1" x14ac:dyDescent="0.2">
      <c r="A301" s="3">
        <v>45719</v>
      </c>
      <c r="B301" t="s">
        <v>353</v>
      </c>
      <c r="C301" t="s">
        <v>31</v>
      </c>
      <c r="D301" t="s">
        <v>129</v>
      </c>
      <c r="E301" s="4">
        <v>1699</v>
      </c>
      <c r="F301" s="4">
        <v>169.9</v>
      </c>
      <c r="G301" s="4">
        <v>1464.66</v>
      </c>
      <c r="H301" s="4">
        <v>14.65</v>
      </c>
      <c r="I301" s="4">
        <v>117.17</v>
      </c>
      <c r="J301" s="4">
        <v>73</v>
      </c>
      <c r="K301" s="4">
        <v>1324.28</v>
      </c>
      <c r="L301">
        <f t="shared" si="8"/>
        <v>2025</v>
      </c>
      <c r="M301">
        <f t="shared" si="9"/>
        <v>1</v>
      </c>
    </row>
    <row r="302" spans="1:13" ht="15" customHeight="1" x14ac:dyDescent="0.2">
      <c r="A302" s="3">
        <v>45719</v>
      </c>
      <c r="B302" t="s">
        <v>354</v>
      </c>
      <c r="C302" t="s">
        <v>31</v>
      </c>
      <c r="D302" t="s">
        <v>77</v>
      </c>
      <c r="E302" s="4">
        <v>1699</v>
      </c>
      <c r="F302" s="4">
        <v>169.9</v>
      </c>
      <c r="G302" s="4">
        <v>1464.66</v>
      </c>
      <c r="H302" s="4">
        <v>14.65</v>
      </c>
      <c r="I302" s="4">
        <v>117.17</v>
      </c>
      <c r="J302" s="4">
        <v>73</v>
      </c>
      <c r="K302" s="4">
        <v>1324.28</v>
      </c>
      <c r="L302">
        <f t="shared" si="8"/>
        <v>2025</v>
      </c>
      <c r="M302">
        <f t="shared" si="9"/>
        <v>1</v>
      </c>
    </row>
    <row r="303" spans="1:13" ht="15" customHeight="1" x14ac:dyDescent="0.2">
      <c r="A303" s="3">
        <v>45721</v>
      </c>
      <c r="B303" t="s">
        <v>355</v>
      </c>
      <c r="C303" t="s">
        <v>92</v>
      </c>
      <c r="D303" t="s">
        <v>33</v>
      </c>
      <c r="E303" s="4">
        <v>299</v>
      </c>
      <c r="F303" s="4">
        <v>58.31</v>
      </c>
      <c r="G303" s="4">
        <v>257.76</v>
      </c>
      <c r="H303" s="4">
        <v>2.58</v>
      </c>
      <c r="I303" s="4">
        <v>20.62</v>
      </c>
      <c r="J303" s="4">
        <v>80</v>
      </c>
      <c r="K303" s="4">
        <v>137.5</v>
      </c>
      <c r="L303">
        <f t="shared" si="8"/>
        <v>2025</v>
      </c>
      <c r="M303">
        <f t="shared" si="9"/>
        <v>1</v>
      </c>
    </row>
    <row r="304" spans="1:13" ht="15" customHeight="1" x14ac:dyDescent="0.2">
      <c r="A304" s="3">
        <v>45721</v>
      </c>
      <c r="B304" t="s">
        <v>356</v>
      </c>
      <c r="C304" t="s">
        <v>31</v>
      </c>
      <c r="D304" t="s">
        <v>49</v>
      </c>
      <c r="E304" s="4">
        <v>1699</v>
      </c>
      <c r="F304" s="4">
        <v>169.9</v>
      </c>
      <c r="G304" s="4">
        <v>1464.66</v>
      </c>
      <c r="H304" s="4">
        <v>14.65</v>
      </c>
      <c r="I304" s="4">
        <v>117.17</v>
      </c>
      <c r="J304" s="4">
        <v>73</v>
      </c>
      <c r="K304" s="4">
        <v>1324.28</v>
      </c>
      <c r="L304">
        <f t="shared" si="8"/>
        <v>2025</v>
      </c>
      <c r="M304">
        <f t="shared" si="9"/>
        <v>1</v>
      </c>
    </row>
    <row r="305" spans="1:13" ht="15" customHeight="1" x14ac:dyDescent="0.2">
      <c r="A305" s="3">
        <v>45721</v>
      </c>
      <c r="B305" t="s">
        <v>357</v>
      </c>
      <c r="C305" t="s">
        <v>31</v>
      </c>
      <c r="D305" t="s">
        <v>35</v>
      </c>
      <c r="E305" s="4">
        <v>1699</v>
      </c>
      <c r="F305" s="4">
        <v>169.9</v>
      </c>
      <c r="G305" s="4">
        <v>1464.66</v>
      </c>
      <c r="H305" s="4">
        <v>14.65</v>
      </c>
      <c r="I305" s="4">
        <v>117.17</v>
      </c>
      <c r="J305" s="4">
        <v>73</v>
      </c>
      <c r="K305" s="4">
        <v>1324.28</v>
      </c>
      <c r="L305">
        <f t="shared" si="8"/>
        <v>2025</v>
      </c>
      <c r="M305">
        <f t="shared" si="9"/>
        <v>1</v>
      </c>
    </row>
    <row r="306" spans="1:13" ht="15" customHeight="1" x14ac:dyDescent="0.2">
      <c r="A306" s="3">
        <v>45722</v>
      </c>
      <c r="B306" t="s">
        <v>358</v>
      </c>
      <c r="C306" t="s">
        <v>76</v>
      </c>
      <c r="D306" t="s">
        <v>38</v>
      </c>
      <c r="E306" s="4">
        <v>1839.08</v>
      </c>
      <c r="F306" s="4">
        <v>183.91</v>
      </c>
      <c r="G306" s="4">
        <v>1585.41</v>
      </c>
      <c r="H306" s="4">
        <v>15.85</v>
      </c>
      <c r="I306" s="4">
        <v>126.83</v>
      </c>
      <c r="J306" s="4">
        <v>73</v>
      </c>
      <c r="K306" s="4">
        <v>1439.48</v>
      </c>
      <c r="L306">
        <f t="shared" si="8"/>
        <v>2025</v>
      </c>
      <c r="M306">
        <f t="shared" si="9"/>
        <v>1</v>
      </c>
    </row>
    <row r="307" spans="1:13" ht="15" customHeight="1" x14ac:dyDescent="0.2">
      <c r="A307" s="3">
        <v>45722</v>
      </c>
      <c r="B307" t="s">
        <v>359</v>
      </c>
      <c r="C307" t="s">
        <v>67</v>
      </c>
      <c r="D307" t="s">
        <v>27</v>
      </c>
      <c r="E307" s="4">
        <v>1782.44</v>
      </c>
      <c r="F307" s="4">
        <v>178.24</v>
      </c>
      <c r="G307" s="4">
        <v>1536.59</v>
      </c>
      <c r="H307" s="4">
        <v>15.37</v>
      </c>
      <c r="I307" s="4">
        <v>122.93</v>
      </c>
      <c r="J307" s="4">
        <v>73</v>
      </c>
      <c r="K307" s="4">
        <v>1392.9</v>
      </c>
      <c r="L307">
        <f t="shared" si="8"/>
        <v>2025</v>
      </c>
      <c r="M307">
        <f t="shared" si="9"/>
        <v>1</v>
      </c>
    </row>
    <row r="308" spans="1:13" ht="15" customHeight="1" x14ac:dyDescent="0.2">
      <c r="A308" s="3">
        <v>45723</v>
      </c>
      <c r="B308" t="s">
        <v>360</v>
      </c>
      <c r="C308" t="s">
        <v>76</v>
      </c>
      <c r="D308" t="s">
        <v>65</v>
      </c>
      <c r="E308" s="4">
        <v>1839.08</v>
      </c>
      <c r="F308" s="4">
        <v>183.91</v>
      </c>
      <c r="G308" s="4">
        <v>1585.41</v>
      </c>
      <c r="H308" s="4">
        <v>15.85</v>
      </c>
      <c r="I308" s="4">
        <v>126.83</v>
      </c>
      <c r="J308" s="4">
        <v>73</v>
      </c>
      <c r="K308" s="4">
        <v>1439.48</v>
      </c>
      <c r="L308">
        <f t="shared" si="8"/>
        <v>2025</v>
      </c>
      <c r="M308">
        <f t="shared" si="9"/>
        <v>1</v>
      </c>
    </row>
    <row r="309" spans="1:13" ht="15" customHeight="1" x14ac:dyDescent="0.2">
      <c r="A309" s="3">
        <v>45723</v>
      </c>
      <c r="B309" t="s">
        <v>361</v>
      </c>
      <c r="C309" t="s">
        <v>31</v>
      </c>
      <c r="D309" t="s">
        <v>40</v>
      </c>
      <c r="E309" s="4">
        <v>1699</v>
      </c>
      <c r="F309" s="4">
        <v>246.36</v>
      </c>
      <c r="G309" s="4">
        <v>1464.66</v>
      </c>
      <c r="H309" s="4">
        <v>14.65</v>
      </c>
      <c r="I309" s="4">
        <v>117.17</v>
      </c>
      <c r="J309" s="4">
        <v>73</v>
      </c>
      <c r="K309" s="4">
        <v>1247.83</v>
      </c>
      <c r="L309">
        <f t="shared" si="8"/>
        <v>2025</v>
      </c>
      <c r="M309">
        <f t="shared" si="9"/>
        <v>1</v>
      </c>
    </row>
    <row r="310" spans="1:13" ht="15" customHeight="1" x14ac:dyDescent="0.2">
      <c r="A310" s="3">
        <v>45723</v>
      </c>
      <c r="B310" t="s">
        <v>362</v>
      </c>
      <c r="C310" t="s">
        <v>162</v>
      </c>
      <c r="D310" t="s">
        <v>65</v>
      </c>
      <c r="E310" s="4">
        <v>1994.05</v>
      </c>
      <c r="F310" s="4">
        <v>289.14</v>
      </c>
      <c r="G310" s="4">
        <v>1719.01</v>
      </c>
      <c r="H310" s="4">
        <v>17.190000000000001</v>
      </c>
      <c r="I310" s="4">
        <v>137.52000000000001</v>
      </c>
      <c r="J310" s="4">
        <v>79.5</v>
      </c>
      <c r="K310" s="4">
        <v>1470.7</v>
      </c>
      <c r="L310">
        <f t="shared" si="8"/>
        <v>2025</v>
      </c>
      <c r="M310">
        <f t="shared" si="9"/>
        <v>1</v>
      </c>
    </row>
    <row r="311" spans="1:13" ht="15" customHeight="1" x14ac:dyDescent="0.2">
      <c r="A311" s="3">
        <v>45724</v>
      </c>
      <c r="B311" t="s">
        <v>363</v>
      </c>
      <c r="C311" t="s">
        <v>31</v>
      </c>
      <c r="D311" t="s">
        <v>77</v>
      </c>
      <c r="E311" s="4">
        <v>1699</v>
      </c>
      <c r="F311" s="4">
        <v>246.36</v>
      </c>
      <c r="G311" s="4">
        <v>1464.66</v>
      </c>
      <c r="H311" s="4">
        <v>14.65</v>
      </c>
      <c r="I311" s="4">
        <v>117.17</v>
      </c>
      <c r="J311" s="4">
        <v>73</v>
      </c>
      <c r="K311" s="4">
        <v>1247.83</v>
      </c>
      <c r="L311">
        <f t="shared" si="8"/>
        <v>2025</v>
      </c>
      <c r="M311">
        <f t="shared" si="9"/>
        <v>1</v>
      </c>
    </row>
    <row r="312" spans="1:13" ht="15" customHeight="1" x14ac:dyDescent="0.2">
      <c r="A312" s="3">
        <v>45726</v>
      </c>
      <c r="B312" t="s">
        <v>364</v>
      </c>
      <c r="C312" t="s">
        <v>307</v>
      </c>
      <c r="D312" t="s">
        <v>93</v>
      </c>
      <c r="E312" s="4">
        <v>314.10000000000002</v>
      </c>
      <c r="F312" s="4">
        <v>61.25</v>
      </c>
      <c r="G312" s="4">
        <v>270.77999999999997</v>
      </c>
      <c r="H312" s="4">
        <v>2.71</v>
      </c>
      <c r="I312" s="4">
        <v>21.66</v>
      </c>
      <c r="J312" s="4">
        <v>63.6</v>
      </c>
      <c r="K312" s="4">
        <v>164.88</v>
      </c>
      <c r="L312">
        <f t="shared" si="8"/>
        <v>2025</v>
      </c>
      <c r="M312">
        <f t="shared" si="9"/>
        <v>1</v>
      </c>
    </row>
    <row r="313" spans="1:13" ht="15" customHeight="1" x14ac:dyDescent="0.2">
      <c r="A313" s="3">
        <v>45726</v>
      </c>
      <c r="B313" t="s">
        <v>364</v>
      </c>
      <c r="C313" t="s">
        <v>253</v>
      </c>
      <c r="D313" t="s">
        <v>93</v>
      </c>
      <c r="E313" s="4">
        <v>314.10000000000002</v>
      </c>
      <c r="F313" s="4">
        <v>61.25</v>
      </c>
      <c r="G313" s="4">
        <v>270.77999999999997</v>
      </c>
      <c r="H313" s="4">
        <v>2.71</v>
      </c>
      <c r="I313" s="4">
        <v>21.66</v>
      </c>
      <c r="J313" s="4">
        <v>63.6</v>
      </c>
      <c r="K313" s="4">
        <v>164.88</v>
      </c>
      <c r="L313">
        <f t="shared" si="8"/>
        <v>2025</v>
      </c>
      <c r="M313">
        <f t="shared" si="9"/>
        <v>1</v>
      </c>
    </row>
    <row r="314" spans="1:13" ht="15" customHeight="1" x14ac:dyDescent="0.2">
      <c r="A314" s="3">
        <v>45730</v>
      </c>
      <c r="B314" t="s">
        <v>365</v>
      </c>
      <c r="C314" t="s">
        <v>366</v>
      </c>
      <c r="D314" t="s">
        <v>35</v>
      </c>
      <c r="E314" s="4">
        <v>1499</v>
      </c>
      <c r="F314" s="4">
        <v>292.31</v>
      </c>
      <c r="G314" s="4">
        <v>1292.24</v>
      </c>
      <c r="H314" s="4">
        <v>0</v>
      </c>
      <c r="I314" s="4">
        <v>0</v>
      </c>
      <c r="J314" s="4">
        <v>159</v>
      </c>
      <c r="K314" s="4">
        <v>1047.7</v>
      </c>
      <c r="L314">
        <f t="shared" si="8"/>
        <v>2025</v>
      </c>
      <c r="M314">
        <f t="shared" si="9"/>
        <v>1</v>
      </c>
    </row>
    <row r="315" spans="1:13" ht="15" customHeight="1" x14ac:dyDescent="0.2">
      <c r="A315" s="3">
        <v>45734</v>
      </c>
      <c r="B315" t="s">
        <v>367</v>
      </c>
      <c r="C315" t="s">
        <v>67</v>
      </c>
      <c r="D315" t="s">
        <v>33</v>
      </c>
      <c r="E315" s="4">
        <v>1782.44</v>
      </c>
      <c r="F315" s="4">
        <v>178.24</v>
      </c>
      <c r="G315" s="4">
        <v>1536.59</v>
      </c>
      <c r="H315" s="4">
        <v>15.37</v>
      </c>
      <c r="I315" s="4">
        <v>122.93</v>
      </c>
      <c r="J315" s="4">
        <v>73</v>
      </c>
      <c r="K315" s="4">
        <v>1392.9</v>
      </c>
      <c r="L315">
        <f t="shared" si="8"/>
        <v>2025</v>
      </c>
      <c r="M315">
        <f t="shared" si="9"/>
        <v>1</v>
      </c>
    </row>
    <row r="316" spans="1:13" ht="15" customHeight="1" x14ac:dyDescent="0.2">
      <c r="A316" s="3">
        <v>45734</v>
      </c>
      <c r="B316" t="s">
        <v>368</v>
      </c>
      <c r="C316" t="s">
        <v>67</v>
      </c>
      <c r="D316" t="s">
        <v>59</v>
      </c>
      <c r="E316" s="4">
        <v>1849</v>
      </c>
      <c r="F316" s="4">
        <v>268.11</v>
      </c>
      <c r="G316" s="4">
        <v>1593.97</v>
      </c>
      <c r="H316" s="4">
        <v>15.94</v>
      </c>
      <c r="I316" s="4">
        <v>127.52</v>
      </c>
      <c r="J316" s="4">
        <v>73</v>
      </c>
      <c r="K316" s="4">
        <v>1364.44</v>
      </c>
      <c r="L316">
        <f t="shared" si="8"/>
        <v>2025</v>
      </c>
      <c r="M316">
        <f t="shared" si="9"/>
        <v>1</v>
      </c>
    </row>
    <row r="317" spans="1:13" ht="15" customHeight="1" x14ac:dyDescent="0.2">
      <c r="A317" s="3">
        <v>45735</v>
      </c>
      <c r="B317" t="s">
        <v>369</v>
      </c>
      <c r="C317" t="s">
        <v>31</v>
      </c>
      <c r="D317" t="s">
        <v>24</v>
      </c>
      <c r="E317" s="4">
        <v>1658.12</v>
      </c>
      <c r="F317" s="4">
        <v>240.43</v>
      </c>
      <c r="G317" s="4">
        <v>1429.41</v>
      </c>
      <c r="H317" s="4">
        <v>14.29</v>
      </c>
      <c r="I317" s="4">
        <v>114.35</v>
      </c>
      <c r="J317" s="4">
        <v>73</v>
      </c>
      <c r="K317" s="4">
        <v>1216.05</v>
      </c>
      <c r="L317">
        <f t="shared" si="8"/>
        <v>2025</v>
      </c>
      <c r="M317">
        <f t="shared" si="9"/>
        <v>1</v>
      </c>
    </row>
    <row r="318" spans="1:13" ht="15" customHeight="1" x14ac:dyDescent="0.2">
      <c r="A318" s="3">
        <v>45735</v>
      </c>
      <c r="B318" t="s">
        <v>370</v>
      </c>
      <c r="C318" t="s">
        <v>67</v>
      </c>
      <c r="D318" t="s">
        <v>189</v>
      </c>
      <c r="E318" s="4">
        <v>1782.44</v>
      </c>
      <c r="F318" s="4">
        <v>178.24</v>
      </c>
      <c r="G318" s="4">
        <v>1536.59</v>
      </c>
      <c r="H318" s="4">
        <v>15.37</v>
      </c>
      <c r="I318" s="4">
        <v>122.93</v>
      </c>
      <c r="J318" s="4">
        <v>73</v>
      </c>
      <c r="K318" s="4">
        <v>1392.9</v>
      </c>
      <c r="L318">
        <f t="shared" si="8"/>
        <v>2025</v>
      </c>
      <c r="M318">
        <f t="shared" si="9"/>
        <v>1</v>
      </c>
    </row>
    <row r="319" spans="1:13" ht="15" customHeight="1" x14ac:dyDescent="0.2">
      <c r="A319" s="3">
        <v>45735</v>
      </c>
      <c r="B319" t="s">
        <v>371</v>
      </c>
      <c r="C319" t="s">
        <v>52</v>
      </c>
      <c r="D319" t="s">
        <v>232</v>
      </c>
      <c r="E319" s="4">
        <v>333</v>
      </c>
      <c r="F319" s="4">
        <v>64.94</v>
      </c>
      <c r="G319" s="4">
        <v>287.07</v>
      </c>
      <c r="H319" s="4">
        <v>2.87</v>
      </c>
      <c r="I319" s="4">
        <v>22.97</v>
      </c>
      <c r="J319" s="4">
        <v>76</v>
      </c>
      <c r="K319" s="4">
        <v>166.23</v>
      </c>
      <c r="L319">
        <f t="shared" si="8"/>
        <v>2025</v>
      </c>
      <c r="M319">
        <f t="shared" si="9"/>
        <v>1</v>
      </c>
    </row>
    <row r="320" spans="1:13" ht="15" customHeight="1" x14ac:dyDescent="0.2">
      <c r="A320" s="3">
        <v>45737</v>
      </c>
      <c r="B320" t="s">
        <v>372</v>
      </c>
      <c r="C320" t="s">
        <v>31</v>
      </c>
      <c r="D320" t="s">
        <v>119</v>
      </c>
      <c r="E320" s="4">
        <v>1658.12</v>
      </c>
      <c r="F320" s="4">
        <v>240.43</v>
      </c>
      <c r="G320" s="4">
        <v>1429.41</v>
      </c>
      <c r="H320" s="4">
        <v>14.29</v>
      </c>
      <c r="I320" s="4">
        <v>114.35</v>
      </c>
      <c r="J320" s="4">
        <v>73</v>
      </c>
      <c r="K320" s="4">
        <v>1216.05</v>
      </c>
      <c r="L320">
        <f t="shared" si="8"/>
        <v>2025</v>
      </c>
      <c r="M320">
        <f t="shared" si="9"/>
        <v>1</v>
      </c>
    </row>
    <row r="321" spans="1:13" ht="15" customHeight="1" x14ac:dyDescent="0.2">
      <c r="A321" s="3">
        <v>45737</v>
      </c>
      <c r="B321" t="s">
        <v>373</v>
      </c>
      <c r="C321" t="s">
        <v>31</v>
      </c>
      <c r="D321" t="s">
        <v>40</v>
      </c>
      <c r="E321" s="4">
        <v>1658.12</v>
      </c>
      <c r="F321" s="4">
        <v>240.43</v>
      </c>
      <c r="G321" s="4">
        <v>1429.41</v>
      </c>
      <c r="H321" s="4">
        <v>14.29</v>
      </c>
      <c r="I321" s="4">
        <v>114.35</v>
      </c>
      <c r="J321" s="4">
        <v>73</v>
      </c>
      <c r="K321" s="4">
        <v>1216.05</v>
      </c>
      <c r="L321">
        <f t="shared" si="8"/>
        <v>2025</v>
      </c>
      <c r="M321">
        <f t="shared" si="9"/>
        <v>1</v>
      </c>
    </row>
    <row r="322" spans="1:13" ht="15" customHeight="1" x14ac:dyDescent="0.2">
      <c r="A322" s="3">
        <v>45737</v>
      </c>
      <c r="B322" t="s">
        <v>374</v>
      </c>
      <c r="C322" t="s">
        <v>31</v>
      </c>
      <c r="D322" t="s">
        <v>29</v>
      </c>
      <c r="E322" s="4">
        <v>1658.12</v>
      </c>
      <c r="F322" s="4">
        <v>240.43</v>
      </c>
      <c r="G322" s="4">
        <v>1429.41</v>
      </c>
      <c r="H322" s="4">
        <v>14.29</v>
      </c>
      <c r="I322" s="4">
        <v>114.35</v>
      </c>
      <c r="J322" s="4">
        <v>73</v>
      </c>
      <c r="K322" s="4">
        <v>1216.05</v>
      </c>
      <c r="L322">
        <f t="shared" ref="L322:L385" si="10">YEAR(A322)</f>
        <v>2025</v>
      </c>
      <c r="M322">
        <f t="shared" ref="M322:M385" si="11">ROUNDUP(MONTH(A322)/3,0)</f>
        <v>1</v>
      </c>
    </row>
    <row r="323" spans="1:13" ht="15" customHeight="1" x14ac:dyDescent="0.2">
      <c r="A323" s="3">
        <v>45741</v>
      </c>
      <c r="B323" t="s">
        <v>375</v>
      </c>
      <c r="C323" t="s">
        <v>76</v>
      </c>
      <c r="D323" t="s">
        <v>29</v>
      </c>
      <c r="E323" s="4">
        <v>1839.08</v>
      </c>
      <c r="F323" s="4">
        <v>183.91</v>
      </c>
      <c r="G323" s="4">
        <v>1585.41</v>
      </c>
      <c r="H323" s="4">
        <v>15.85</v>
      </c>
      <c r="I323" s="4">
        <v>126.83</v>
      </c>
      <c r="J323" s="4">
        <v>73</v>
      </c>
      <c r="K323" s="4">
        <v>1439.48</v>
      </c>
      <c r="L323">
        <f t="shared" si="10"/>
        <v>2025</v>
      </c>
      <c r="M323">
        <f t="shared" si="11"/>
        <v>1</v>
      </c>
    </row>
    <row r="324" spans="1:13" ht="15" customHeight="1" x14ac:dyDescent="0.2">
      <c r="A324" s="3">
        <v>45743</v>
      </c>
      <c r="B324" t="s">
        <v>376</v>
      </c>
      <c r="C324" t="s">
        <v>31</v>
      </c>
      <c r="D324" t="s">
        <v>33</v>
      </c>
      <c r="E324" s="4">
        <v>1749</v>
      </c>
      <c r="F324" s="4">
        <v>253.61</v>
      </c>
      <c r="G324" s="4">
        <v>1507.76</v>
      </c>
      <c r="H324" s="4">
        <v>15.08</v>
      </c>
      <c r="I324" s="4">
        <v>120.62</v>
      </c>
      <c r="J324" s="4">
        <v>73</v>
      </c>
      <c r="K324" s="4">
        <v>1286.7</v>
      </c>
      <c r="L324">
        <f t="shared" si="10"/>
        <v>2025</v>
      </c>
      <c r="M324">
        <f t="shared" si="11"/>
        <v>1</v>
      </c>
    </row>
    <row r="325" spans="1:13" ht="15" customHeight="1" x14ac:dyDescent="0.2">
      <c r="A325" s="3">
        <v>45743</v>
      </c>
      <c r="B325" t="s">
        <v>377</v>
      </c>
      <c r="C325" t="s">
        <v>31</v>
      </c>
      <c r="D325" t="s">
        <v>314</v>
      </c>
      <c r="E325" s="4">
        <v>1749</v>
      </c>
      <c r="F325" s="4">
        <v>253.61</v>
      </c>
      <c r="G325" s="4">
        <v>1507.76</v>
      </c>
      <c r="H325" s="4">
        <v>15.08</v>
      </c>
      <c r="I325" s="4">
        <v>120.62</v>
      </c>
      <c r="J325" s="4">
        <v>73</v>
      </c>
      <c r="K325" s="4">
        <v>1286.7</v>
      </c>
      <c r="L325">
        <f t="shared" si="10"/>
        <v>2025</v>
      </c>
      <c r="M325">
        <f t="shared" si="11"/>
        <v>1</v>
      </c>
    </row>
    <row r="326" spans="1:13" ht="15" customHeight="1" x14ac:dyDescent="0.2">
      <c r="A326" s="3">
        <v>45743</v>
      </c>
      <c r="B326" t="s">
        <v>378</v>
      </c>
      <c r="C326" t="s">
        <v>31</v>
      </c>
      <c r="D326" t="s">
        <v>81</v>
      </c>
      <c r="E326" s="4">
        <v>1658.12</v>
      </c>
      <c r="F326" s="4">
        <v>165.81</v>
      </c>
      <c r="G326" s="4">
        <v>1429.41</v>
      </c>
      <c r="H326" s="4">
        <v>14.29</v>
      </c>
      <c r="I326" s="4">
        <v>114.35</v>
      </c>
      <c r="J326" s="4">
        <v>73</v>
      </c>
      <c r="K326" s="4">
        <v>1290.6600000000001</v>
      </c>
      <c r="L326">
        <f t="shared" si="10"/>
        <v>2025</v>
      </c>
      <c r="M326">
        <f t="shared" si="11"/>
        <v>1</v>
      </c>
    </row>
    <row r="327" spans="1:13" ht="15" customHeight="1" x14ac:dyDescent="0.2">
      <c r="A327" s="3">
        <v>45743</v>
      </c>
      <c r="B327" t="s">
        <v>379</v>
      </c>
      <c r="C327" t="s">
        <v>31</v>
      </c>
      <c r="D327" t="s">
        <v>93</v>
      </c>
      <c r="E327" s="4">
        <v>1658.12</v>
      </c>
      <c r="F327" s="4">
        <v>165.81</v>
      </c>
      <c r="G327" s="4">
        <v>1429.41</v>
      </c>
      <c r="H327" s="4">
        <v>14.29</v>
      </c>
      <c r="I327" s="4">
        <v>114.35</v>
      </c>
      <c r="J327" s="4">
        <v>73</v>
      </c>
      <c r="K327" s="4">
        <v>1290.6600000000001</v>
      </c>
      <c r="L327">
        <f t="shared" si="10"/>
        <v>2025</v>
      </c>
      <c r="M327">
        <f t="shared" si="11"/>
        <v>1</v>
      </c>
    </row>
    <row r="328" spans="1:13" ht="15" customHeight="1" x14ac:dyDescent="0.2">
      <c r="A328" s="3">
        <v>45743</v>
      </c>
      <c r="B328" t="s">
        <v>380</v>
      </c>
      <c r="C328" t="s">
        <v>31</v>
      </c>
      <c r="D328" t="s">
        <v>77</v>
      </c>
      <c r="E328" s="4">
        <v>1749</v>
      </c>
      <c r="F328" s="4">
        <v>253.61</v>
      </c>
      <c r="G328" s="4">
        <v>1507.76</v>
      </c>
      <c r="H328" s="4">
        <v>15.08</v>
      </c>
      <c r="I328" s="4">
        <v>120.62</v>
      </c>
      <c r="J328" s="4">
        <v>73</v>
      </c>
      <c r="K328" s="4">
        <v>1286.7</v>
      </c>
      <c r="L328">
        <f t="shared" si="10"/>
        <v>2025</v>
      </c>
      <c r="M328">
        <f t="shared" si="11"/>
        <v>1</v>
      </c>
    </row>
    <row r="329" spans="1:13" ht="15" customHeight="1" x14ac:dyDescent="0.2">
      <c r="A329" s="3">
        <v>45743</v>
      </c>
      <c r="B329" t="s">
        <v>381</v>
      </c>
      <c r="C329" t="s">
        <v>31</v>
      </c>
      <c r="D329" t="s">
        <v>93</v>
      </c>
      <c r="E329" s="4">
        <v>1749</v>
      </c>
      <c r="F329" s="4">
        <v>253.61</v>
      </c>
      <c r="G329" s="4">
        <v>1507.76</v>
      </c>
      <c r="H329" s="4">
        <v>15.08</v>
      </c>
      <c r="I329" s="4">
        <v>120.62</v>
      </c>
      <c r="J329" s="4">
        <v>73</v>
      </c>
      <c r="K329" s="4">
        <v>1286.7</v>
      </c>
      <c r="L329">
        <f t="shared" si="10"/>
        <v>2025</v>
      </c>
      <c r="M329">
        <f t="shared" si="11"/>
        <v>1</v>
      </c>
    </row>
    <row r="330" spans="1:13" ht="15" customHeight="1" x14ac:dyDescent="0.2">
      <c r="A330" s="3">
        <v>45744</v>
      </c>
      <c r="B330" t="s">
        <v>382</v>
      </c>
      <c r="C330" t="s">
        <v>31</v>
      </c>
      <c r="D330" t="s">
        <v>49</v>
      </c>
      <c r="E330" s="4">
        <v>1749</v>
      </c>
      <c r="F330" s="4">
        <v>253.61</v>
      </c>
      <c r="G330" s="4">
        <v>1507.76</v>
      </c>
      <c r="H330" s="4">
        <v>15.08</v>
      </c>
      <c r="I330" s="4">
        <v>120.62</v>
      </c>
      <c r="J330" s="4">
        <v>73</v>
      </c>
      <c r="K330" s="4">
        <v>1286.7</v>
      </c>
      <c r="L330">
        <f t="shared" si="10"/>
        <v>2025</v>
      </c>
      <c r="M330">
        <f t="shared" si="11"/>
        <v>1</v>
      </c>
    </row>
    <row r="331" spans="1:13" ht="15" customHeight="1" x14ac:dyDescent="0.2">
      <c r="A331" s="3">
        <v>45744</v>
      </c>
      <c r="B331" t="s">
        <v>383</v>
      </c>
      <c r="C331" t="s">
        <v>131</v>
      </c>
      <c r="D331" t="s">
        <v>38</v>
      </c>
      <c r="E331" s="4">
        <v>2089.0500000000002</v>
      </c>
      <c r="F331" s="4">
        <v>302.91000000000003</v>
      </c>
      <c r="G331" s="4">
        <v>1800.91</v>
      </c>
      <c r="H331" s="4">
        <v>18.010000000000002</v>
      </c>
      <c r="I331" s="4">
        <v>144.07</v>
      </c>
      <c r="J331" s="4">
        <v>73</v>
      </c>
      <c r="K331" s="4">
        <v>1551.06</v>
      </c>
      <c r="L331">
        <f t="shared" si="10"/>
        <v>2025</v>
      </c>
      <c r="M331">
        <f t="shared" si="11"/>
        <v>1</v>
      </c>
    </row>
    <row r="332" spans="1:13" ht="15" customHeight="1" x14ac:dyDescent="0.2">
      <c r="A332" s="3">
        <v>45744</v>
      </c>
      <c r="B332" t="s">
        <v>384</v>
      </c>
      <c r="C332" t="s">
        <v>76</v>
      </c>
      <c r="D332" t="s">
        <v>232</v>
      </c>
      <c r="E332" s="4">
        <v>1839.08</v>
      </c>
      <c r="F332" s="4">
        <v>183.91</v>
      </c>
      <c r="G332" s="4">
        <v>1585.41</v>
      </c>
      <c r="H332" s="4">
        <v>15.85</v>
      </c>
      <c r="I332" s="4">
        <v>126.83</v>
      </c>
      <c r="J332" s="4">
        <v>73</v>
      </c>
      <c r="K332" s="4">
        <v>1439.48</v>
      </c>
      <c r="L332">
        <f t="shared" si="10"/>
        <v>2025</v>
      </c>
      <c r="M332">
        <f t="shared" si="11"/>
        <v>1</v>
      </c>
    </row>
    <row r="333" spans="1:13" ht="15" customHeight="1" x14ac:dyDescent="0.2">
      <c r="A333" s="3">
        <v>45745</v>
      </c>
      <c r="B333" t="s">
        <v>385</v>
      </c>
      <c r="C333" t="s">
        <v>90</v>
      </c>
      <c r="D333" t="s">
        <v>35</v>
      </c>
      <c r="E333" s="4">
        <v>299</v>
      </c>
      <c r="F333" s="4">
        <v>43.36</v>
      </c>
      <c r="G333" s="4">
        <v>257.76</v>
      </c>
      <c r="H333" s="4">
        <v>2.58</v>
      </c>
      <c r="I333" s="4">
        <v>20.62</v>
      </c>
      <c r="J333" s="4">
        <v>63.6</v>
      </c>
      <c r="K333" s="4">
        <v>168.85</v>
      </c>
      <c r="L333">
        <f t="shared" si="10"/>
        <v>2025</v>
      </c>
      <c r="M333">
        <f t="shared" si="11"/>
        <v>1</v>
      </c>
    </row>
    <row r="334" spans="1:13" ht="15" customHeight="1" x14ac:dyDescent="0.2">
      <c r="A334" s="3">
        <v>45745</v>
      </c>
      <c r="B334" t="s">
        <v>386</v>
      </c>
      <c r="C334" t="s">
        <v>187</v>
      </c>
      <c r="D334" t="s">
        <v>232</v>
      </c>
      <c r="E334" s="4">
        <v>314.10000000000002</v>
      </c>
      <c r="F334" s="4">
        <v>61.25</v>
      </c>
      <c r="G334" s="4">
        <v>270.77999999999997</v>
      </c>
      <c r="H334" s="4">
        <v>2.71</v>
      </c>
      <c r="I334" s="4">
        <v>21.66</v>
      </c>
      <c r="J334" s="4">
        <v>63.6</v>
      </c>
      <c r="K334" s="4">
        <v>164.88</v>
      </c>
      <c r="L334">
        <f t="shared" si="10"/>
        <v>2025</v>
      </c>
      <c r="M334">
        <f t="shared" si="11"/>
        <v>1</v>
      </c>
    </row>
    <row r="335" spans="1:13" ht="15" customHeight="1" x14ac:dyDescent="0.2">
      <c r="A335" s="3">
        <v>45746</v>
      </c>
      <c r="B335" t="s">
        <v>387</v>
      </c>
      <c r="C335" t="s">
        <v>31</v>
      </c>
      <c r="D335" t="s">
        <v>85</v>
      </c>
      <c r="E335" s="4">
        <v>1749</v>
      </c>
      <c r="F335" s="4">
        <v>253.61</v>
      </c>
      <c r="G335" s="4">
        <v>1507.76</v>
      </c>
      <c r="H335" s="4">
        <v>15.08</v>
      </c>
      <c r="I335" s="4">
        <v>120.62</v>
      </c>
      <c r="J335" s="4">
        <v>73</v>
      </c>
      <c r="K335" s="4">
        <v>1286.7</v>
      </c>
      <c r="L335">
        <f t="shared" si="10"/>
        <v>2025</v>
      </c>
      <c r="M335">
        <f t="shared" si="11"/>
        <v>1</v>
      </c>
    </row>
    <row r="336" spans="1:13" ht="15" customHeight="1" x14ac:dyDescent="0.2">
      <c r="A336" s="3">
        <v>45747</v>
      </c>
      <c r="B336" t="s">
        <v>388</v>
      </c>
      <c r="C336" t="s">
        <v>115</v>
      </c>
      <c r="D336" t="s">
        <v>189</v>
      </c>
      <c r="E336" s="4">
        <v>1999</v>
      </c>
      <c r="F336" s="4">
        <v>289.86</v>
      </c>
      <c r="G336" s="4">
        <v>1723.28</v>
      </c>
      <c r="H336" s="4">
        <v>17.23</v>
      </c>
      <c r="I336" s="4">
        <v>137.86000000000001</v>
      </c>
      <c r="J336" s="4">
        <v>73</v>
      </c>
      <c r="K336" s="4">
        <v>1481.05</v>
      </c>
      <c r="L336">
        <f t="shared" si="10"/>
        <v>2025</v>
      </c>
      <c r="M336">
        <f t="shared" si="11"/>
        <v>1</v>
      </c>
    </row>
    <row r="337" spans="1:13" ht="15" customHeight="1" x14ac:dyDescent="0.2">
      <c r="A337" s="3">
        <v>45749</v>
      </c>
      <c r="B337" t="s">
        <v>389</v>
      </c>
      <c r="C337" t="s">
        <v>31</v>
      </c>
      <c r="D337" t="s">
        <v>93</v>
      </c>
      <c r="E337" s="4">
        <v>1644.06</v>
      </c>
      <c r="F337" s="4">
        <v>238.39</v>
      </c>
      <c r="G337" s="4">
        <v>1417.29</v>
      </c>
      <c r="H337" s="4">
        <v>14.17</v>
      </c>
      <c r="I337" s="4">
        <v>113.38</v>
      </c>
      <c r="J337" s="4">
        <v>73</v>
      </c>
      <c r="K337" s="4">
        <v>1205.1099999999999</v>
      </c>
      <c r="L337">
        <f t="shared" si="10"/>
        <v>2025</v>
      </c>
      <c r="M337">
        <f t="shared" si="11"/>
        <v>2</v>
      </c>
    </row>
    <row r="338" spans="1:13" ht="15" customHeight="1" x14ac:dyDescent="0.2">
      <c r="A338" s="3">
        <v>45749</v>
      </c>
      <c r="B338" t="s">
        <v>390</v>
      </c>
      <c r="C338" t="s">
        <v>391</v>
      </c>
      <c r="D338" t="s">
        <v>81</v>
      </c>
      <c r="E338" s="4">
        <v>314.10000000000002</v>
      </c>
      <c r="F338" s="4">
        <v>61.25</v>
      </c>
      <c r="G338" s="4">
        <v>270.77999999999997</v>
      </c>
      <c r="H338" s="4">
        <v>2.71</v>
      </c>
      <c r="I338" s="4">
        <v>21.66</v>
      </c>
      <c r="J338" s="4">
        <v>63.6</v>
      </c>
      <c r="K338" s="4">
        <v>164.88</v>
      </c>
      <c r="L338">
        <f t="shared" si="10"/>
        <v>2025</v>
      </c>
      <c r="M338">
        <f t="shared" si="11"/>
        <v>2</v>
      </c>
    </row>
    <row r="339" spans="1:13" ht="15" customHeight="1" x14ac:dyDescent="0.2">
      <c r="A339" s="3">
        <v>45750</v>
      </c>
      <c r="B339" t="s">
        <v>392</v>
      </c>
      <c r="C339" t="s">
        <v>115</v>
      </c>
      <c r="D339" t="s">
        <v>49</v>
      </c>
      <c r="E339" s="4">
        <v>1839.08</v>
      </c>
      <c r="F339" s="4">
        <v>183.91</v>
      </c>
      <c r="G339" s="4">
        <v>1585.41</v>
      </c>
      <c r="H339" s="4">
        <v>15.85</v>
      </c>
      <c r="I339" s="4">
        <v>126.83</v>
      </c>
      <c r="J339" s="4">
        <v>74.5</v>
      </c>
      <c r="K339" s="4">
        <v>1437.98</v>
      </c>
      <c r="L339">
        <f t="shared" si="10"/>
        <v>2025</v>
      </c>
      <c r="M339">
        <f t="shared" si="11"/>
        <v>2</v>
      </c>
    </row>
    <row r="340" spans="1:13" ht="15" customHeight="1" x14ac:dyDescent="0.2">
      <c r="A340" s="3">
        <v>45753</v>
      </c>
      <c r="B340" t="s">
        <v>393</v>
      </c>
      <c r="C340" t="s">
        <v>31</v>
      </c>
      <c r="D340" t="s">
        <v>232</v>
      </c>
      <c r="E340" s="4">
        <v>1644.06</v>
      </c>
      <c r="F340" s="4">
        <v>164.41</v>
      </c>
      <c r="G340" s="4">
        <v>1417.29</v>
      </c>
      <c r="H340" s="4">
        <v>14.17</v>
      </c>
      <c r="I340" s="4">
        <v>113.38</v>
      </c>
      <c r="J340" s="4">
        <v>74.5</v>
      </c>
      <c r="K340" s="4">
        <v>1277.5999999999999</v>
      </c>
      <c r="L340">
        <f t="shared" si="10"/>
        <v>2025</v>
      </c>
      <c r="M340">
        <f t="shared" si="11"/>
        <v>2</v>
      </c>
    </row>
    <row r="341" spans="1:13" ht="15" customHeight="1" x14ac:dyDescent="0.2">
      <c r="A341" s="3">
        <v>45753</v>
      </c>
      <c r="B341" t="s">
        <v>394</v>
      </c>
      <c r="C341" t="s">
        <v>307</v>
      </c>
      <c r="D341" t="s">
        <v>314</v>
      </c>
      <c r="E341" s="4">
        <v>314.10000000000002</v>
      </c>
      <c r="F341" s="4">
        <v>61.25</v>
      </c>
      <c r="G341" s="4">
        <v>270.77999999999997</v>
      </c>
      <c r="H341" s="4">
        <v>2.71</v>
      </c>
      <c r="I341" s="4">
        <v>21.66</v>
      </c>
      <c r="J341" s="4">
        <v>63.6</v>
      </c>
      <c r="K341" s="4">
        <v>164.88</v>
      </c>
      <c r="L341">
        <f t="shared" si="10"/>
        <v>2025</v>
      </c>
      <c r="M341">
        <f t="shared" si="11"/>
        <v>2</v>
      </c>
    </row>
    <row r="342" spans="1:13" ht="15" customHeight="1" x14ac:dyDescent="0.2">
      <c r="A342" s="3">
        <v>45756</v>
      </c>
      <c r="B342" t="s">
        <v>395</v>
      </c>
      <c r="C342" t="s">
        <v>31</v>
      </c>
      <c r="D342" t="s">
        <v>215</v>
      </c>
      <c r="E342" s="4">
        <v>1749</v>
      </c>
      <c r="F342" s="4">
        <v>253.61</v>
      </c>
      <c r="G342" s="4">
        <v>1507.76</v>
      </c>
      <c r="H342" s="4">
        <v>15.08</v>
      </c>
      <c r="I342" s="4">
        <v>120.62</v>
      </c>
      <c r="J342" s="4">
        <v>74.5</v>
      </c>
      <c r="K342" s="4">
        <v>1285.2</v>
      </c>
      <c r="L342">
        <f t="shared" si="10"/>
        <v>2025</v>
      </c>
      <c r="M342">
        <f t="shared" si="11"/>
        <v>2</v>
      </c>
    </row>
    <row r="343" spans="1:13" ht="15" customHeight="1" x14ac:dyDescent="0.2">
      <c r="A343" s="3">
        <v>45757</v>
      </c>
      <c r="B343" t="s">
        <v>396</v>
      </c>
      <c r="C343" t="s">
        <v>391</v>
      </c>
      <c r="D343" t="s">
        <v>38</v>
      </c>
      <c r="E343" s="4">
        <v>314.10000000000002</v>
      </c>
      <c r="F343" s="4">
        <v>61.25</v>
      </c>
      <c r="G343" s="4">
        <v>270.77999999999997</v>
      </c>
      <c r="H343" s="4">
        <v>2.71</v>
      </c>
      <c r="I343" s="4">
        <v>21.66</v>
      </c>
      <c r="J343" s="4">
        <v>67.599999999999994</v>
      </c>
      <c r="K343" s="4">
        <v>160.88</v>
      </c>
      <c r="L343">
        <f t="shared" si="10"/>
        <v>2025</v>
      </c>
      <c r="M343">
        <f t="shared" si="11"/>
        <v>2</v>
      </c>
    </row>
    <row r="344" spans="1:13" ht="15" customHeight="1" x14ac:dyDescent="0.2">
      <c r="A344" s="3">
        <v>45757</v>
      </c>
      <c r="B344" t="s">
        <v>397</v>
      </c>
      <c r="C344" t="s">
        <v>31</v>
      </c>
      <c r="D344" t="s">
        <v>49</v>
      </c>
      <c r="E344" s="4">
        <v>1644.06</v>
      </c>
      <c r="F344" s="4">
        <v>238.39</v>
      </c>
      <c r="G344" s="4">
        <v>1417.29</v>
      </c>
      <c r="H344" s="4">
        <v>14.17</v>
      </c>
      <c r="I344" s="4">
        <v>113.38</v>
      </c>
      <c r="J344" s="4">
        <v>74.5</v>
      </c>
      <c r="K344" s="4">
        <v>1203.6099999999999</v>
      </c>
      <c r="L344">
        <f t="shared" si="10"/>
        <v>2025</v>
      </c>
      <c r="M344">
        <f t="shared" si="11"/>
        <v>2</v>
      </c>
    </row>
    <row r="345" spans="1:13" ht="15" customHeight="1" x14ac:dyDescent="0.2">
      <c r="A345" s="3">
        <v>45758</v>
      </c>
      <c r="B345" t="s">
        <v>398</v>
      </c>
      <c r="C345" t="s">
        <v>131</v>
      </c>
      <c r="D345" t="s">
        <v>27</v>
      </c>
      <c r="E345" s="4">
        <v>2089.0500000000002</v>
      </c>
      <c r="F345" s="4">
        <v>302.91000000000003</v>
      </c>
      <c r="G345" s="4">
        <v>1800.91</v>
      </c>
      <c r="H345" s="4">
        <v>18.010000000000002</v>
      </c>
      <c r="I345" s="4">
        <v>144.07</v>
      </c>
      <c r="J345" s="4">
        <v>74.5</v>
      </c>
      <c r="K345" s="4">
        <v>1549.56</v>
      </c>
      <c r="L345">
        <f t="shared" si="10"/>
        <v>2025</v>
      </c>
      <c r="M345">
        <f t="shared" si="11"/>
        <v>2</v>
      </c>
    </row>
    <row r="346" spans="1:13" ht="15" customHeight="1" x14ac:dyDescent="0.2">
      <c r="A346" s="3">
        <v>45761</v>
      </c>
      <c r="B346" t="s">
        <v>399</v>
      </c>
      <c r="C346" t="s">
        <v>67</v>
      </c>
      <c r="D346" t="s">
        <v>38</v>
      </c>
      <c r="E346" s="4">
        <v>1756.55</v>
      </c>
      <c r="F346" s="4">
        <v>175.66</v>
      </c>
      <c r="G346" s="4">
        <v>1514.27</v>
      </c>
      <c r="H346" s="4">
        <v>15.14</v>
      </c>
      <c r="I346" s="4">
        <v>121.14</v>
      </c>
      <c r="J346" s="4">
        <v>74.5</v>
      </c>
      <c r="K346" s="4">
        <v>1370.11</v>
      </c>
      <c r="L346">
        <f t="shared" si="10"/>
        <v>2025</v>
      </c>
      <c r="M346">
        <f t="shared" si="11"/>
        <v>2</v>
      </c>
    </row>
    <row r="347" spans="1:13" ht="15" customHeight="1" x14ac:dyDescent="0.2">
      <c r="A347" s="3">
        <v>45762</v>
      </c>
      <c r="B347" t="s">
        <v>400</v>
      </c>
      <c r="C347" t="s">
        <v>187</v>
      </c>
      <c r="D347" t="s">
        <v>38</v>
      </c>
      <c r="E347" s="4">
        <v>314.10000000000002</v>
      </c>
      <c r="F347" s="4">
        <v>61.25</v>
      </c>
      <c r="G347" s="4">
        <v>270.77999999999997</v>
      </c>
      <c r="H347" s="4">
        <v>2.71</v>
      </c>
      <c r="I347" s="4">
        <v>21.66</v>
      </c>
      <c r="J347" s="4">
        <v>67.599999999999994</v>
      </c>
      <c r="K347" s="4">
        <v>160.88</v>
      </c>
      <c r="L347">
        <f t="shared" si="10"/>
        <v>2025</v>
      </c>
      <c r="M347">
        <f t="shared" si="11"/>
        <v>2</v>
      </c>
    </row>
    <row r="348" spans="1:13" ht="15" customHeight="1" x14ac:dyDescent="0.2">
      <c r="A348" s="3">
        <v>45762</v>
      </c>
      <c r="B348" t="s">
        <v>401</v>
      </c>
      <c r="C348" t="s">
        <v>90</v>
      </c>
      <c r="D348" t="s">
        <v>49</v>
      </c>
      <c r="E348" s="4">
        <v>299</v>
      </c>
      <c r="F348" s="4">
        <v>43.36</v>
      </c>
      <c r="G348" s="4">
        <v>257.76</v>
      </c>
      <c r="H348" s="4">
        <v>2.58</v>
      </c>
      <c r="I348" s="4">
        <v>20.62</v>
      </c>
      <c r="J348" s="4">
        <v>67.599999999999994</v>
      </c>
      <c r="K348" s="4">
        <v>164.85</v>
      </c>
      <c r="L348">
        <f t="shared" si="10"/>
        <v>2025</v>
      </c>
      <c r="M348">
        <f t="shared" si="11"/>
        <v>2</v>
      </c>
    </row>
    <row r="349" spans="1:13" ht="15" customHeight="1" x14ac:dyDescent="0.2">
      <c r="A349" s="3">
        <v>45764</v>
      </c>
      <c r="B349" t="s">
        <v>402</v>
      </c>
      <c r="C349" t="s">
        <v>31</v>
      </c>
      <c r="D349" t="s">
        <v>49</v>
      </c>
      <c r="E349" s="4">
        <v>1644.06</v>
      </c>
      <c r="F349" s="4">
        <v>238.39</v>
      </c>
      <c r="G349" s="4">
        <v>1417.29</v>
      </c>
      <c r="H349" s="4">
        <v>14.17</v>
      </c>
      <c r="I349" s="4">
        <v>113.38</v>
      </c>
      <c r="J349" s="4">
        <v>74.5</v>
      </c>
      <c r="K349" s="4">
        <v>1203.6099999999999</v>
      </c>
      <c r="L349">
        <f t="shared" si="10"/>
        <v>2025</v>
      </c>
      <c r="M349">
        <f t="shared" si="11"/>
        <v>2</v>
      </c>
    </row>
    <row r="350" spans="1:13" ht="15" customHeight="1" x14ac:dyDescent="0.2">
      <c r="A350" s="3">
        <v>45764</v>
      </c>
      <c r="B350" t="s">
        <v>403</v>
      </c>
      <c r="C350" t="s">
        <v>31</v>
      </c>
      <c r="D350" t="s">
        <v>40</v>
      </c>
      <c r="E350" s="4">
        <v>1644.06</v>
      </c>
      <c r="F350" s="4">
        <v>238.39</v>
      </c>
      <c r="G350" s="4">
        <v>1417.29</v>
      </c>
      <c r="H350" s="4">
        <v>14.17</v>
      </c>
      <c r="I350" s="4">
        <v>113.38</v>
      </c>
      <c r="J350" s="4">
        <v>74.5</v>
      </c>
      <c r="K350" s="4">
        <v>1203.6099999999999</v>
      </c>
      <c r="L350">
        <f t="shared" si="10"/>
        <v>2025</v>
      </c>
      <c r="M350">
        <f t="shared" si="11"/>
        <v>2</v>
      </c>
    </row>
    <row r="351" spans="1:13" ht="15" customHeight="1" x14ac:dyDescent="0.2">
      <c r="A351" s="3">
        <v>45764</v>
      </c>
      <c r="B351" t="s">
        <v>404</v>
      </c>
      <c r="C351" t="s">
        <v>165</v>
      </c>
      <c r="D351" t="s">
        <v>93</v>
      </c>
      <c r="E351" s="4">
        <v>399</v>
      </c>
      <c r="F351" s="4">
        <v>57.86</v>
      </c>
      <c r="G351" s="4">
        <v>343.97</v>
      </c>
      <c r="H351" s="4">
        <v>3.44</v>
      </c>
      <c r="I351" s="4">
        <v>27.52</v>
      </c>
      <c r="J351" s="4">
        <v>67.599999999999994</v>
      </c>
      <c r="K351" s="4">
        <v>242.59</v>
      </c>
      <c r="L351">
        <f t="shared" si="10"/>
        <v>2025</v>
      </c>
      <c r="M351">
        <f t="shared" si="11"/>
        <v>2</v>
      </c>
    </row>
    <row r="352" spans="1:13" ht="15" customHeight="1" x14ac:dyDescent="0.2">
      <c r="A352" s="3">
        <v>45765</v>
      </c>
      <c r="B352" t="s">
        <v>405</v>
      </c>
      <c r="C352" t="s">
        <v>187</v>
      </c>
      <c r="D352" t="s">
        <v>65</v>
      </c>
      <c r="E352" s="4">
        <v>349</v>
      </c>
      <c r="F352" s="4">
        <v>68.06</v>
      </c>
      <c r="G352" s="4">
        <v>300.86</v>
      </c>
      <c r="H352" s="4">
        <v>3.01</v>
      </c>
      <c r="I352" s="4">
        <v>24.07</v>
      </c>
      <c r="J352" s="4">
        <v>67.599999999999994</v>
      </c>
      <c r="K352" s="4">
        <v>186.27</v>
      </c>
      <c r="L352">
        <f t="shared" si="10"/>
        <v>2025</v>
      </c>
      <c r="M352">
        <f t="shared" si="11"/>
        <v>2</v>
      </c>
    </row>
    <row r="353" spans="1:13" ht="15" customHeight="1" x14ac:dyDescent="0.2">
      <c r="A353" s="3">
        <v>45765</v>
      </c>
      <c r="B353" t="s">
        <v>406</v>
      </c>
      <c r="C353" t="s">
        <v>92</v>
      </c>
      <c r="D353" t="s">
        <v>35</v>
      </c>
      <c r="E353" s="4">
        <v>299</v>
      </c>
      <c r="F353" s="4">
        <v>58.31</v>
      </c>
      <c r="G353" s="4">
        <v>257.76</v>
      </c>
      <c r="H353" s="4">
        <v>2.58</v>
      </c>
      <c r="I353" s="4">
        <v>20.62</v>
      </c>
      <c r="J353" s="4">
        <v>79.2</v>
      </c>
      <c r="K353" s="4">
        <v>138.30000000000001</v>
      </c>
      <c r="L353">
        <f t="shared" si="10"/>
        <v>2025</v>
      </c>
      <c r="M353">
        <f t="shared" si="11"/>
        <v>2</v>
      </c>
    </row>
    <row r="354" spans="1:13" ht="15" customHeight="1" x14ac:dyDescent="0.2">
      <c r="A354" s="3">
        <v>45765</v>
      </c>
      <c r="B354" t="s">
        <v>406</v>
      </c>
      <c r="C354" t="s">
        <v>123</v>
      </c>
      <c r="D354" t="s">
        <v>35</v>
      </c>
      <c r="E354" s="4">
        <v>299</v>
      </c>
      <c r="F354" s="4">
        <v>58.31</v>
      </c>
      <c r="G354" s="4">
        <v>257.76</v>
      </c>
      <c r="H354" s="4">
        <v>2.58</v>
      </c>
      <c r="I354" s="4">
        <v>20.62</v>
      </c>
      <c r="J354" s="4">
        <v>79.2</v>
      </c>
      <c r="K354" s="4">
        <v>138.30000000000001</v>
      </c>
      <c r="L354">
        <f t="shared" si="10"/>
        <v>2025</v>
      </c>
      <c r="M354">
        <f t="shared" si="11"/>
        <v>2</v>
      </c>
    </row>
    <row r="355" spans="1:13" ht="15" customHeight="1" x14ac:dyDescent="0.2">
      <c r="A355" s="3">
        <v>45767</v>
      </c>
      <c r="B355" t="s">
        <v>407</v>
      </c>
      <c r="C355" t="s">
        <v>165</v>
      </c>
      <c r="D355" t="s">
        <v>24</v>
      </c>
      <c r="E355" s="4">
        <v>399</v>
      </c>
      <c r="F355" s="4">
        <v>57.86</v>
      </c>
      <c r="G355" s="4">
        <v>343.97</v>
      </c>
      <c r="H355" s="4">
        <v>3.44</v>
      </c>
      <c r="I355" s="4">
        <v>27.52</v>
      </c>
      <c r="J355" s="4">
        <v>67.599999999999994</v>
      </c>
      <c r="K355" s="4">
        <v>242.59</v>
      </c>
      <c r="L355">
        <f t="shared" si="10"/>
        <v>2025</v>
      </c>
      <c r="M355">
        <f t="shared" si="11"/>
        <v>2</v>
      </c>
    </row>
    <row r="356" spans="1:13" ht="15" customHeight="1" x14ac:dyDescent="0.2">
      <c r="A356" s="3">
        <v>45768</v>
      </c>
      <c r="B356" t="s">
        <v>408</v>
      </c>
      <c r="C356" t="s">
        <v>391</v>
      </c>
      <c r="D356" t="s">
        <v>33</v>
      </c>
      <c r="E356" s="4">
        <v>314.10000000000002</v>
      </c>
      <c r="F356" s="4">
        <v>61.25</v>
      </c>
      <c r="G356" s="4">
        <v>270.77999999999997</v>
      </c>
      <c r="H356" s="4">
        <v>2.71</v>
      </c>
      <c r="I356" s="4">
        <v>21.66</v>
      </c>
      <c r="J356" s="4">
        <v>67.599999999999994</v>
      </c>
      <c r="K356" s="4">
        <v>160.88</v>
      </c>
      <c r="L356">
        <f t="shared" si="10"/>
        <v>2025</v>
      </c>
      <c r="M356">
        <f t="shared" si="11"/>
        <v>2</v>
      </c>
    </row>
    <row r="357" spans="1:13" ht="15" customHeight="1" x14ac:dyDescent="0.2">
      <c r="A357" s="3">
        <v>45769</v>
      </c>
      <c r="B357" t="s">
        <v>409</v>
      </c>
      <c r="C357" t="s">
        <v>115</v>
      </c>
      <c r="D357" t="s">
        <v>38</v>
      </c>
      <c r="E357" s="4">
        <v>1839.08</v>
      </c>
      <c r="F357" s="4">
        <v>183.91</v>
      </c>
      <c r="G357" s="4">
        <v>1585.41</v>
      </c>
      <c r="H357" s="4">
        <v>15.85</v>
      </c>
      <c r="I357" s="4">
        <v>126.83</v>
      </c>
      <c r="J357" s="4">
        <v>74.5</v>
      </c>
      <c r="K357" s="4">
        <v>1437.98</v>
      </c>
      <c r="L357">
        <f t="shared" si="10"/>
        <v>2025</v>
      </c>
      <c r="M357">
        <f t="shared" si="11"/>
        <v>2</v>
      </c>
    </row>
    <row r="358" spans="1:13" ht="15" customHeight="1" x14ac:dyDescent="0.2">
      <c r="A358" s="3">
        <v>45769</v>
      </c>
      <c r="B358" t="s">
        <v>410</v>
      </c>
      <c r="C358" t="s">
        <v>67</v>
      </c>
      <c r="D358" t="s">
        <v>49</v>
      </c>
      <c r="E358" s="4">
        <v>1849</v>
      </c>
      <c r="F358" s="4">
        <v>268.11</v>
      </c>
      <c r="G358" s="4">
        <v>1593.97</v>
      </c>
      <c r="H358" s="4">
        <v>15.94</v>
      </c>
      <c r="I358" s="4">
        <v>127.52</v>
      </c>
      <c r="J358" s="4">
        <v>74.5</v>
      </c>
      <c r="K358" s="4">
        <v>1362.94</v>
      </c>
      <c r="L358">
        <f t="shared" si="10"/>
        <v>2025</v>
      </c>
      <c r="M358">
        <f t="shared" si="11"/>
        <v>2</v>
      </c>
    </row>
    <row r="359" spans="1:13" ht="15" customHeight="1" x14ac:dyDescent="0.2">
      <c r="A359" s="3">
        <v>45769</v>
      </c>
      <c r="B359" t="s">
        <v>411</v>
      </c>
      <c r="C359" t="s">
        <v>90</v>
      </c>
      <c r="D359" t="s">
        <v>119</v>
      </c>
      <c r="E359" s="4">
        <v>299</v>
      </c>
      <c r="F359" s="4">
        <v>43.36</v>
      </c>
      <c r="G359" s="4">
        <v>257.76</v>
      </c>
      <c r="H359" s="4">
        <v>2.58</v>
      </c>
      <c r="I359" s="4">
        <v>20.62</v>
      </c>
      <c r="J359" s="4">
        <v>67.599999999999994</v>
      </c>
      <c r="K359" s="4">
        <v>164.85</v>
      </c>
      <c r="L359">
        <f t="shared" si="10"/>
        <v>2025</v>
      </c>
      <c r="M359">
        <f t="shared" si="11"/>
        <v>2</v>
      </c>
    </row>
    <row r="360" spans="1:13" ht="15" customHeight="1" x14ac:dyDescent="0.2">
      <c r="A360" s="3">
        <v>45770</v>
      </c>
      <c r="B360" t="s">
        <v>412</v>
      </c>
      <c r="C360" t="s">
        <v>31</v>
      </c>
      <c r="D360" t="s">
        <v>40</v>
      </c>
      <c r="E360" s="4">
        <v>1644.06</v>
      </c>
      <c r="F360" s="4">
        <v>238.39</v>
      </c>
      <c r="G360" s="4">
        <v>1417.29</v>
      </c>
      <c r="H360" s="4">
        <v>14.17</v>
      </c>
      <c r="I360" s="4">
        <v>113.38</v>
      </c>
      <c r="J360" s="4">
        <v>74.5</v>
      </c>
      <c r="K360" s="4">
        <v>1203.6099999999999</v>
      </c>
      <c r="L360">
        <f t="shared" si="10"/>
        <v>2025</v>
      </c>
      <c r="M360">
        <f t="shared" si="11"/>
        <v>2</v>
      </c>
    </row>
    <row r="361" spans="1:13" ht="15" customHeight="1" x14ac:dyDescent="0.2">
      <c r="A361" s="3">
        <v>45770</v>
      </c>
      <c r="B361" t="s">
        <v>413</v>
      </c>
      <c r="C361" t="s">
        <v>67</v>
      </c>
      <c r="D361" t="s">
        <v>49</v>
      </c>
      <c r="E361" s="4">
        <v>1756.55</v>
      </c>
      <c r="F361" s="4">
        <v>175.66</v>
      </c>
      <c r="G361" s="4">
        <v>1514.27</v>
      </c>
      <c r="H361" s="4">
        <v>15.14</v>
      </c>
      <c r="I361" s="4">
        <v>121.14</v>
      </c>
      <c r="J361" s="4">
        <v>74.5</v>
      </c>
      <c r="K361" s="4">
        <v>1370.11</v>
      </c>
      <c r="L361">
        <f t="shared" si="10"/>
        <v>2025</v>
      </c>
      <c r="M361">
        <f t="shared" si="11"/>
        <v>2</v>
      </c>
    </row>
    <row r="362" spans="1:13" ht="15" customHeight="1" x14ac:dyDescent="0.2">
      <c r="A362" s="3">
        <v>45770</v>
      </c>
      <c r="B362" t="s">
        <v>414</v>
      </c>
      <c r="C362" t="s">
        <v>67</v>
      </c>
      <c r="D362" t="s">
        <v>40</v>
      </c>
      <c r="E362" s="4">
        <v>1756.55</v>
      </c>
      <c r="F362" s="4">
        <v>175.66</v>
      </c>
      <c r="G362" s="4">
        <v>1514.27</v>
      </c>
      <c r="H362" s="4">
        <v>15.14</v>
      </c>
      <c r="I362" s="4">
        <v>121.14</v>
      </c>
      <c r="J362" s="4">
        <v>74.5</v>
      </c>
      <c r="K362" s="4">
        <v>1370.11</v>
      </c>
      <c r="L362">
        <f t="shared" si="10"/>
        <v>2025</v>
      </c>
      <c r="M362">
        <f t="shared" si="11"/>
        <v>2</v>
      </c>
    </row>
    <row r="363" spans="1:13" ht="15" customHeight="1" x14ac:dyDescent="0.2">
      <c r="A363" s="3">
        <v>45773</v>
      </c>
      <c r="B363" t="s">
        <v>415</v>
      </c>
      <c r="C363" t="s">
        <v>31</v>
      </c>
      <c r="D363" t="s">
        <v>42</v>
      </c>
      <c r="E363" s="4">
        <v>1644.06</v>
      </c>
      <c r="F363" s="4">
        <v>238.39</v>
      </c>
      <c r="G363" s="4">
        <v>1417.29</v>
      </c>
      <c r="H363" s="4">
        <v>14.17</v>
      </c>
      <c r="I363" s="4">
        <v>113.38</v>
      </c>
      <c r="J363" s="4">
        <v>74.5</v>
      </c>
      <c r="K363" s="4">
        <v>1203.6099999999999</v>
      </c>
      <c r="L363">
        <f t="shared" si="10"/>
        <v>2025</v>
      </c>
      <c r="M363">
        <f t="shared" si="11"/>
        <v>2</v>
      </c>
    </row>
    <row r="364" spans="1:13" ht="15" customHeight="1" x14ac:dyDescent="0.2">
      <c r="A364" s="3">
        <v>45773</v>
      </c>
      <c r="B364" t="s">
        <v>415</v>
      </c>
      <c r="C364" t="s">
        <v>31</v>
      </c>
      <c r="D364" t="s">
        <v>42</v>
      </c>
      <c r="E364" s="4">
        <v>1644.06</v>
      </c>
      <c r="F364" s="4">
        <v>238.39</v>
      </c>
      <c r="G364" s="4">
        <v>1417.29</v>
      </c>
      <c r="H364" s="4">
        <v>14.17</v>
      </c>
      <c r="I364" s="4">
        <v>113.38</v>
      </c>
      <c r="J364" s="4">
        <v>74.5</v>
      </c>
      <c r="K364" s="4">
        <v>1203.6099999999999</v>
      </c>
      <c r="L364">
        <f t="shared" si="10"/>
        <v>2025</v>
      </c>
      <c r="M364">
        <f t="shared" si="11"/>
        <v>2</v>
      </c>
    </row>
    <row r="365" spans="1:13" ht="15" customHeight="1" x14ac:dyDescent="0.2">
      <c r="A365" s="3">
        <v>45774</v>
      </c>
      <c r="B365" t="s">
        <v>416</v>
      </c>
      <c r="C365" t="s">
        <v>90</v>
      </c>
      <c r="D365" t="s">
        <v>35</v>
      </c>
      <c r="E365" s="4">
        <v>322.05</v>
      </c>
      <c r="F365" s="4">
        <v>46.7</v>
      </c>
      <c r="G365" s="4">
        <v>277.63</v>
      </c>
      <c r="H365" s="4">
        <v>2.78</v>
      </c>
      <c r="I365" s="4">
        <v>22.21</v>
      </c>
      <c r="J365" s="4">
        <v>67.599999999999994</v>
      </c>
      <c r="K365" s="4">
        <v>182.77</v>
      </c>
      <c r="L365">
        <f t="shared" si="10"/>
        <v>2025</v>
      </c>
      <c r="M365">
        <f t="shared" si="11"/>
        <v>2</v>
      </c>
    </row>
    <row r="366" spans="1:13" ht="15" customHeight="1" x14ac:dyDescent="0.2">
      <c r="A366" s="3">
        <v>45774</v>
      </c>
      <c r="B366" t="s">
        <v>417</v>
      </c>
      <c r="C366" t="s">
        <v>31</v>
      </c>
      <c r="D366" t="s">
        <v>85</v>
      </c>
      <c r="E366" s="4">
        <v>1644.06</v>
      </c>
      <c r="F366" s="4">
        <v>164.41</v>
      </c>
      <c r="G366" s="4">
        <v>1417.29</v>
      </c>
      <c r="H366" s="4">
        <v>14.17</v>
      </c>
      <c r="I366" s="4">
        <v>113.38</v>
      </c>
      <c r="J366" s="4">
        <v>74.5</v>
      </c>
      <c r="K366" s="4">
        <v>1277.5999999999999</v>
      </c>
      <c r="L366">
        <f t="shared" si="10"/>
        <v>2025</v>
      </c>
      <c r="M366">
        <f t="shared" si="11"/>
        <v>2</v>
      </c>
    </row>
    <row r="367" spans="1:13" ht="15" customHeight="1" x14ac:dyDescent="0.2">
      <c r="A367" s="3">
        <v>45775</v>
      </c>
      <c r="B367" t="s">
        <v>418</v>
      </c>
      <c r="C367" t="s">
        <v>67</v>
      </c>
      <c r="D367" t="s">
        <v>93</v>
      </c>
      <c r="E367" s="4">
        <v>1756.55</v>
      </c>
      <c r="F367" s="4">
        <v>175.66</v>
      </c>
      <c r="G367" s="4">
        <v>1514.27</v>
      </c>
      <c r="H367" s="4">
        <v>15.14</v>
      </c>
      <c r="I367" s="4">
        <v>121.14</v>
      </c>
      <c r="J367" s="4">
        <v>74.5</v>
      </c>
      <c r="K367" s="4">
        <v>1370.11</v>
      </c>
      <c r="L367">
        <f t="shared" si="10"/>
        <v>2025</v>
      </c>
      <c r="M367">
        <f t="shared" si="11"/>
        <v>2</v>
      </c>
    </row>
    <row r="368" spans="1:13" ht="15" customHeight="1" x14ac:dyDescent="0.2">
      <c r="A368" s="3">
        <v>45775</v>
      </c>
      <c r="B368" t="s">
        <v>419</v>
      </c>
      <c r="C368" t="s">
        <v>333</v>
      </c>
      <c r="D368" t="s">
        <v>49</v>
      </c>
      <c r="E368" s="4">
        <v>399</v>
      </c>
      <c r="F368" s="4">
        <v>57.86</v>
      </c>
      <c r="G368" s="4">
        <v>343.97</v>
      </c>
      <c r="H368" s="4">
        <v>3.44</v>
      </c>
      <c r="I368" s="4">
        <v>27.52</v>
      </c>
      <c r="J368" s="4">
        <v>67.599999999999994</v>
      </c>
      <c r="K368" s="4">
        <v>242.59</v>
      </c>
      <c r="L368">
        <f t="shared" si="10"/>
        <v>2025</v>
      </c>
      <c r="M368">
        <f t="shared" si="11"/>
        <v>2</v>
      </c>
    </row>
    <row r="369" spans="1:13" ht="15" customHeight="1" x14ac:dyDescent="0.2">
      <c r="A369" s="3">
        <v>45775</v>
      </c>
      <c r="B369" t="s">
        <v>420</v>
      </c>
      <c r="C369" t="s">
        <v>31</v>
      </c>
      <c r="D369" t="s">
        <v>27</v>
      </c>
      <c r="E369" s="4">
        <v>1749</v>
      </c>
      <c r="F369" s="4">
        <v>253.61</v>
      </c>
      <c r="G369" s="4">
        <v>1507.76</v>
      </c>
      <c r="H369" s="4">
        <v>15.08</v>
      </c>
      <c r="I369" s="4">
        <v>120.62</v>
      </c>
      <c r="J369" s="4">
        <v>89.4</v>
      </c>
      <c r="K369" s="4">
        <v>1270.3</v>
      </c>
      <c r="L369">
        <f t="shared" si="10"/>
        <v>2025</v>
      </c>
      <c r="M369">
        <f t="shared" si="11"/>
        <v>2</v>
      </c>
    </row>
    <row r="370" spans="1:13" ht="15" customHeight="1" x14ac:dyDescent="0.2">
      <c r="A370" s="3">
        <v>45779</v>
      </c>
      <c r="B370" t="s">
        <v>421</v>
      </c>
      <c r="C370" t="s">
        <v>76</v>
      </c>
      <c r="D370" t="s">
        <v>164</v>
      </c>
      <c r="E370" s="4">
        <v>1839.08</v>
      </c>
      <c r="F370" s="4">
        <v>183.91</v>
      </c>
      <c r="G370" s="4">
        <v>1585.41</v>
      </c>
      <c r="H370" s="4">
        <v>15.85</v>
      </c>
      <c r="I370" s="4">
        <v>126.83</v>
      </c>
      <c r="J370" s="4">
        <v>74.5</v>
      </c>
      <c r="K370" s="4">
        <v>1437.98</v>
      </c>
      <c r="L370">
        <f t="shared" si="10"/>
        <v>2025</v>
      </c>
      <c r="M370">
        <f t="shared" si="11"/>
        <v>2</v>
      </c>
    </row>
    <row r="371" spans="1:13" ht="15" customHeight="1" x14ac:dyDescent="0.2">
      <c r="A371" s="3">
        <v>45779</v>
      </c>
      <c r="B371" t="s">
        <v>422</v>
      </c>
      <c r="C371" t="s">
        <v>67</v>
      </c>
      <c r="D371" t="s">
        <v>38</v>
      </c>
      <c r="E371" s="4">
        <v>1756.55</v>
      </c>
      <c r="F371" s="4">
        <v>175.66</v>
      </c>
      <c r="G371" s="4">
        <v>1514.27</v>
      </c>
      <c r="H371" s="4">
        <v>15.14</v>
      </c>
      <c r="I371" s="4">
        <v>121.14</v>
      </c>
      <c r="J371" s="4">
        <v>74.5</v>
      </c>
      <c r="K371" s="4">
        <v>1370.11</v>
      </c>
      <c r="L371">
        <f t="shared" si="10"/>
        <v>2025</v>
      </c>
      <c r="M371">
        <f t="shared" si="11"/>
        <v>2</v>
      </c>
    </row>
    <row r="372" spans="1:13" ht="15" customHeight="1" x14ac:dyDescent="0.2">
      <c r="A372" s="3">
        <v>45781</v>
      </c>
      <c r="B372" t="s">
        <v>423</v>
      </c>
      <c r="C372" t="s">
        <v>165</v>
      </c>
      <c r="D372" t="s">
        <v>49</v>
      </c>
      <c r="E372" s="4">
        <v>379.05</v>
      </c>
      <c r="F372" s="4">
        <v>54.96</v>
      </c>
      <c r="G372" s="4">
        <v>326.77</v>
      </c>
      <c r="H372" s="4">
        <v>3.27</v>
      </c>
      <c r="I372" s="4">
        <v>26.14</v>
      </c>
      <c r="J372" s="4">
        <v>67.599999999999994</v>
      </c>
      <c r="K372" s="4">
        <v>227.08</v>
      </c>
      <c r="L372">
        <f t="shared" si="10"/>
        <v>2025</v>
      </c>
      <c r="M372">
        <f t="shared" si="11"/>
        <v>2</v>
      </c>
    </row>
    <row r="373" spans="1:13" ht="15" customHeight="1" x14ac:dyDescent="0.2">
      <c r="A373" s="3">
        <v>45781</v>
      </c>
      <c r="B373" t="s">
        <v>423</v>
      </c>
      <c r="C373" t="s">
        <v>333</v>
      </c>
      <c r="D373" t="s">
        <v>49</v>
      </c>
      <c r="E373" s="4">
        <v>379.05</v>
      </c>
      <c r="F373" s="4">
        <v>54.96</v>
      </c>
      <c r="G373" s="4">
        <v>326.77</v>
      </c>
      <c r="H373" s="4">
        <v>3.27</v>
      </c>
      <c r="I373" s="4">
        <v>26.14</v>
      </c>
      <c r="J373" s="4">
        <v>67.599999999999994</v>
      </c>
      <c r="K373" s="4">
        <v>227.08</v>
      </c>
      <c r="L373">
        <f t="shared" si="10"/>
        <v>2025</v>
      </c>
      <c r="M373">
        <f t="shared" si="11"/>
        <v>2</v>
      </c>
    </row>
    <row r="374" spans="1:13" ht="15" customHeight="1" x14ac:dyDescent="0.2">
      <c r="A374" s="3">
        <v>45782</v>
      </c>
      <c r="B374" t="s">
        <v>424</v>
      </c>
      <c r="C374" t="s">
        <v>95</v>
      </c>
      <c r="D374" t="s">
        <v>29</v>
      </c>
      <c r="E374" s="4">
        <v>474.05</v>
      </c>
      <c r="F374" s="4">
        <v>68.739999999999995</v>
      </c>
      <c r="G374" s="4">
        <v>408.66</v>
      </c>
      <c r="H374" s="4">
        <v>4.09</v>
      </c>
      <c r="I374" s="4">
        <v>32.69</v>
      </c>
      <c r="J374" s="4">
        <v>76</v>
      </c>
      <c r="K374" s="4">
        <v>292.52999999999997</v>
      </c>
      <c r="L374">
        <f t="shared" si="10"/>
        <v>2025</v>
      </c>
      <c r="M374">
        <f t="shared" si="11"/>
        <v>2</v>
      </c>
    </row>
    <row r="375" spans="1:13" ht="15" customHeight="1" x14ac:dyDescent="0.2">
      <c r="A375" s="3">
        <v>45783</v>
      </c>
      <c r="B375" t="s">
        <v>425</v>
      </c>
      <c r="C375" t="s">
        <v>426</v>
      </c>
      <c r="D375" t="s">
        <v>85</v>
      </c>
      <c r="E375" s="4">
        <v>314.10000000000002</v>
      </c>
      <c r="F375" s="4">
        <v>61.25</v>
      </c>
      <c r="G375" s="4">
        <v>270.77999999999997</v>
      </c>
      <c r="H375" s="4">
        <v>2.71</v>
      </c>
      <c r="I375" s="4">
        <v>21.66</v>
      </c>
      <c r="J375" s="4">
        <v>67.599999999999994</v>
      </c>
      <c r="K375" s="4">
        <v>160.88</v>
      </c>
      <c r="L375">
        <f t="shared" si="10"/>
        <v>2025</v>
      </c>
      <c r="M375">
        <f t="shared" si="11"/>
        <v>2</v>
      </c>
    </row>
    <row r="376" spans="1:13" ht="15" customHeight="1" x14ac:dyDescent="0.2">
      <c r="A376" s="3">
        <v>45786</v>
      </c>
      <c r="B376" t="s">
        <v>427</v>
      </c>
      <c r="C376" t="s">
        <v>31</v>
      </c>
      <c r="D376" t="s">
        <v>35</v>
      </c>
      <c r="E376" s="4">
        <v>1644.06</v>
      </c>
      <c r="F376" s="4">
        <v>164.41</v>
      </c>
      <c r="G376" s="4">
        <v>1417.29</v>
      </c>
      <c r="H376" s="4">
        <v>14.17</v>
      </c>
      <c r="I376" s="4">
        <v>113.38</v>
      </c>
      <c r="J376" s="4">
        <v>74.5</v>
      </c>
      <c r="K376" s="4">
        <v>1277.5999999999999</v>
      </c>
      <c r="L376">
        <f t="shared" si="10"/>
        <v>2025</v>
      </c>
      <c r="M376">
        <f t="shared" si="11"/>
        <v>2</v>
      </c>
    </row>
    <row r="377" spans="1:13" ht="15" customHeight="1" x14ac:dyDescent="0.2">
      <c r="A377" s="3">
        <v>45786</v>
      </c>
      <c r="B377" t="s">
        <v>428</v>
      </c>
      <c r="C377" t="s">
        <v>31</v>
      </c>
      <c r="D377" t="s">
        <v>126</v>
      </c>
      <c r="E377" s="4">
        <v>1644.06</v>
      </c>
      <c r="F377" s="4">
        <v>164.41</v>
      </c>
      <c r="G377" s="4">
        <v>1417.29</v>
      </c>
      <c r="H377" s="4">
        <v>14.17</v>
      </c>
      <c r="I377" s="4">
        <v>113.38</v>
      </c>
      <c r="J377" s="4">
        <v>74.5</v>
      </c>
      <c r="K377" s="4">
        <v>1277.5999999999999</v>
      </c>
      <c r="L377">
        <f t="shared" si="10"/>
        <v>2025</v>
      </c>
      <c r="M377">
        <f t="shared" si="11"/>
        <v>2</v>
      </c>
    </row>
    <row r="378" spans="1:13" ht="15" customHeight="1" x14ac:dyDescent="0.2">
      <c r="A378" s="3">
        <v>45786</v>
      </c>
      <c r="B378" t="s">
        <v>429</v>
      </c>
      <c r="C378" t="s">
        <v>426</v>
      </c>
      <c r="D378" t="s">
        <v>38</v>
      </c>
      <c r="E378" s="4">
        <v>314.10000000000002</v>
      </c>
      <c r="F378" s="4">
        <v>61.25</v>
      </c>
      <c r="G378" s="4">
        <v>270.77999999999997</v>
      </c>
      <c r="H378" s="4">
        <v>2.71</v>
      </c>
      <c r="I378" s="4">
        <v>21.66</v>
      </c>
      <c r="J378" s="4">
        <v>67.599999999999994</v>
      </c>
      <c r="K378" s="4">
        <v>160.88</v>
      </c>
      <c r="L378">
        <f t="shared" si="10"/>
        <v>2025</v>
      </c>
      <c r="M378">
        <f t="shared" si="11"/>
        <v>2</v>
      </c>
    </row>
    <row r="379" spans="1:13" ht="15" customHeight="1" x14ac:dyDescent="0.2">
      <c r="A379" s="3">
        <v>45789</v>
      </c>
      <c r="B379" t="s">
        <v>430</v>
      </c>
      <c r="C379" t="s">
        <v>90</v>
      </c>
      <c r="D379" t="s">
        <v>49</v>
      </c>
      <c r="E379" s="4">
        <v>322.05</v>
      </c>
      <c r="F379" s="4">
        <v>46.7</v>
      </c>
      <c r="G379" s="4">
        <v>277.63</v>
      </c>
      <c r="H379" s="4">
        <v>2.78</v>
      </c>
      <c r="I379" s="4">
        <v>22.21</v>
      </c>
      <c r="J379" s="4">
        <v>52.4</v>
      </c>
      <c r="K379" s="4">
        <v>197.97</v>
      </c>
      <c r="L379">
        <f t="shared" si="10"/>
        <v>2025</v>
      </c>
      <c r="M379">
        <f t="shared" si="11"/>
        <v>2</v>
      </c>
    </row>
    <row r="380" spans="1:13" ht="15" customHeight="1" x14ac:dyDescent="0.2">
      <c r="A380" s="3">
        <v>45791</v>
      </c>
      <c r="B380" t="s">
        <v>431</v>
      </c>
      <c r="C380" t="s">
        <v>31</v>
      </c>
      <c r="D380" t="s">
        <v>29</v>
      </c>
      <c r="E380" s="4">
        <v>1644.06</v>
      </c>
      <c r="F380" s="4">
        <v>164.41</v>
      </c>
      <c r="G380" s="4">
        <v>1417.29</v>
      </c>
      <c r="H380" s="4">
        <v>14.17</v>
      </c>
      <c r="I380" s="4">
        <v>113.38</v>
      </c>
      <c r="J380" s="4">
        <v>74.5</v>
      </c>
      <c r="K380" s="4">
        <v>1277.5999999999999</v>
      </c>
      <c r="L380">
        <f t="shared" si="10"/>
        <v>2025</v>
      </c>
      <c r="M380">
        <f t="shared" si="11"/>
        <v>2</v>
      </c>
    </row>
    <row r="381" spans="1:13" ht="15" customHeight="1" x14ac:dyDescent="0.2">
      <c r="A381" s="3">
        <v>45792</v>
      </c>
      <c r="B381" t="s">
        <v>432</v>
      </c>
      <c r="C381" t="s">
        <v>115</v>
      </c>
      <c r="D381" t="s">
        <v>232</v>
      </c>
      <c r="E381" s="4">
        <v>1839.08</v>
      </c>
      <c r="F381" s="4">
        <v>183.91</v>
      </c>
      <c r="G381" s="4">
        <v>1585.41</v>
      </c>
      <c r="H381" s="4">
        <v>15.85</v>
      </c>
      <c r="I381" s="4">
        <v>126.83</v>
      </c>
      <c r="J381" s="4">
        <v>74.5</v>
      </c>
      <c r="K381" s="4">
        <v>1437.98</v>
      </c>
      <c r="L381">
        <f t="shared" si="10"/>
        <v>2025</v>
      </c>
      <c r="M381">
        <f t="shared" si="11"/>
        <v>2</v>
      </c>
    </row>
    <row r="382" spans="1:13" ht="15" customHeight="1" x14ac:dyDescent="0.2">
      <c r="A382" s="3">
        <v>45795</v>
      </c>
      <c r="B382" t="s">
        <v>433</v>
      </c>
      <c r="C382" t="s">
        <v>31</v>
      </c>
      <c r="D382" t="s">
        <v>126</v>
      </c>
      <c r="E382" s="4">
        <v>1644.06</v>
      </c>
      <c r="F382" s="4">
        <v>164.41</v>
      </c>
      <c r="G382" s="4">
        <v>1417.29</v>
      </c>
      <c r="H382" s="4">
        <v>14.17</v>
      </c>
      <c r="I382" s="4">
        <v>113.38</v>
      </c>
      <c r="J382" s="4">
        <v>74.5</v>
      </c>
      <c r="K382" s="4">
        <v>1277.5999999999999</v>
      </c>
      <c r="L382">
        <f t="shared" si="10"/>
        <v>2025</v>
      </c>
      <c r="M382">
        <f t="shared" si="11"/>
        <v>2</v>
      </c>
    </row>
    <row r="383" spans="1:13" ht="15" customHeight="1" x14ac:dyDescent="0.2">
      <c r="A383" s="3">
        <v>45795</v>
      </c>
      <c r="B383" t="s">
        <v>434</v>
      </c>
      <c r="C383" t="s">
        <v>31</v>
      </c>
      <c r="D383" t="s">
        <v>49</v>
      </c>
      <c r="E383" s="4">
        <v>1644.06</v>
      </c>
      <c r="F383" s="4">
        <v>164.41</v>
      </c>
      <c r="G383" s="4">
        <v>1417.29</v>
      </c>
      <c r="H383" s="4">
        <v>14.17</v>
      </c>
      <c r="I383" s="4">
        <v>113.38</v>
      </c>
      <c r="J383" s="4">
        <v>74.5</v>
      </c>
      <c r="K383" s="4">
        <v>1277.5999999999999</v>
      </c>
      <c r="L383">
        <f t="shared" si="10"/>
        <v>2025</v>
      </c>
      <c r="M383">
        <f t="shared" si="11"/>
        <v>2</v>
      </c>
    </row>
    <row r="384" spans="1:13" ht="15" customHeight="1" x14ac:dyDescent="0.2">
      <c r="A384" s="3">
        <v>45796</v>
      </c>
      <c r="B384" t="s">
        <v>435</v>
      </c>
      <c r="C384" t="s">
        <v>67</v>
      </c>
      <c r="D384" t="s">
        <v>21</v>
      </c>
      <c r="E384" s="4">
        <v>1756.55</v>
      </c>
      <c r="F384" s="4">
        <v>175.66</v>
      </c>
      <c r="G384" s="4">
        <v>1514.27</v>
      </c>
      <c r="H384" s="4">
        <v>15.14</v>
      </c>
      <c r="I384" s="4">
        <v>121.14</v>
      </c>
      <c r="J384" s="4">
        <v>74.5</v>
      </c>
      <c r="K384" s="4">
        <v>1370.11</v>
      </c>
      <c r="L384">
        <f t="shared" si="10"/>
        <v>2025</v>
      </c>
      <c r="M384">
        <f t="shared" si="11"/>
        <v>2</v>
      </c>
    </row>
    <row r="385" spans="1:13" ht="15" customHeight="1" x14ac:dyDescent="0.2">
      <c r="A385" s="3">
        <v>45802</v>
      </c>
      <c r="B385" t="s">
        <v>436</v>
      </c>
      <c r="C385" t="s">
        <v>31</v>
      </c>
      <c r="D385" t="s">
        <v>49</v>
      </c>
      <c r="E385" s="4">
        <v>1644.06</v>
      </c>
      <c r="F385" s="4">
        <v>164.41</v>
      </c>
      <c r="G385" s="4">
        <v>1417.29</v>
      </c>
      <c r="H385" s="4">
        <v>14.17</v>
      </c>
      <c r="I385" s="4">
        <v>113.38</v>
      </c>
      <c r="J385" s="4">
        <v>74.5</v>
      </c>
      <c r="K385" s="4">
        <v>1277.5999999999999</v>
      </c>
      <c r="L385">
        <f t="shared" si="10"/>
        <v>2025</v>
      </c>
      <c r="M385">
        <f t="shared" si="11"/>
        <v>2</v>
      </c>
    </row>
    <row r="386" spans="1:13" ht="15" customHeight="1" x14ac:dyDescent="0.2">
      <c r="A386" s="3">
        <v>45803</v>
      </c>
      <c r="B386" t="s">
        <v>437</v>
      </c>
      <c r="C386" t="s">
        <v>115</v>
      </c>
      <c r="D386" t="s">
        <v>93</v>
      </c>
      <c r="E386" s="4">
        <v>1779.11</v>
      </c>
      <c r="F386" s="4">
        <v>257.97000000000003</v>
      </c>
      <c r="G386" s="4">
        <v>1533.72</v>
      </c>
      <c r="H386" s="4">
        <v>15.34</v>
      </c>
      <c r="I386" s="4">
        <v>122.7</v>
      </c>
      <c r="J386" s="4">
        <v>74.5</v>
      </c>
      <c r="K386" s="4">
        <v>1308.5999999999999</v>
      </c>
      <c r="L386">
        <f t="shared" ref="L386:L449" si="12">YEAR(A386)</f>
        <v>2025</v>
      </c>
      <c r="M386">
        <f t="shared" ref="M386:M449" si="13">ROUNDUP(MONTH(A386)/3,0)</f>
        <v>2</v>
      </c>
    </row>
    <row r="387" spans="1:13" ht="15" customHeight="1" x14ac:dyDescent="0.2">
      <c r="A387" s="3">
        <v>45804</v>
      </c>
      <c r="B387" t="s">
        <v>438</v>
      </c>
      <c r="C387" t="s">
        <v>31</v>
      </c>
      <c r="D387" t="s">
        <v>126</v>
      </c>
      <c r="E387" s="4">
        <v>1644.06</v>
      </c>
      <c r="F387" s="4">
        <v>238.39</v>
      </c>
      <c r="G387" s="4">
        <v>1417.29</v>
      </c>
      <c r="H387" s="4">
        <v>14.17</v>
      </c>
      <c r="I387" s="4">
        <v>113.38</v>
      </c>
      <c r="J387" s="4">
        <v>74.5</v>
      </c>
      <c r="K387" s="4">
        <v>1203.6099999999999</v>
      </c>
      <c r="L387">
        <f t="shared" si="12"/>
        <v>2025</v>
      </c>
      <c r="M387">
        <f t="shared" si="13"/>
        <v>2</v>
      </c>
    </row>
    <row r="388" spans="1:13" ht="15" customHeight="1" x14ac:dyDescent="0.2">
      <c r="A388" s="3">
        <v>45804</v>
      </c>
      <c r="B388" t="s">
        <v>439</v>
      </c>
      <c r="C388" t="s">
        <v>31</v>
      </c>
      <c r="D388" t="s">
        <v>93</v>
      </c>
      <c r="E388" s="4">
        <v>1644.06</v>
      </c>
      <c r="F388" s="4">
        <v>164.41</v>
      </c>
      <c r="G388" s="4">
        <v>1417.29</v>
      </c>
      <c r="H388" s="4">
        <v>14.17</v>
      </c>
      <c r="I388" s="4">
        <v>113.38</v>
      </c>
      <c r="J388" s="4">
        <v>74.5</v>
      </c>
      <c r="K388" s="4">
        <v>1277.5999999999999</v>
      </c>
      <c r="L388">
        <f t="shared" si="12"/>
        <v>2025</v>
      </c>
      <c r="M388">
        <f t="shared" si="13"/>
        <v>2</v>
      </c>
    </row>
    <row r="389" spans="1:13" ht="15" customHeight="1" x14ac:dyDescent="0.2">
      <c r="A389" s="3">
        <v>45804</v>
      </c>
      <c r="B389" t="s">
        <v>440</v>
      </c>
      <c r="C389" t="s">
        <v>115</v>
      </c>
      <c r="D389" t="s">
        <v>49</v>
      </c>
      <c r="E389" s="4">
        <v>1779.11</v>
      </c>
      <c r="F389" s="4">
        <v>257.97000000000003</v>
      </c>
      <c r="G389" s="4">
        <v>1533.72</v>
      </c>
      <c r="H389" s="4">
        <v>15.34</v>
      </c>
      <c r="I389" s="4">
        <v>122.7</v>
      </c>
      <c r="J389" s="4">
        <v>74.5</v>
      </c>
      <c r="K389" s="4">
        <v>1308.5999999999999</v>
      </c>
      <c r="L389">
        <f t="shared" si="12"/>
        <v>2025</v>
      </c>
      <c r="M389">
        <f t="shared" si="13"/>
        <v>2</v>
      </c>
    </row>
    <row r="390" spans="1:13" ht="15" customHeight="1" x14ac:dyDescent="0.2">
      <c r="A390" s="3">
        <v>45806</v>
      </c>
      <c r="B390" t="s">
        <v>441</v>
      </c>
      <c r="C390" t="s">
        <v>31</v>
      </c>
      <c r="D390" t="s">
        <v>93</v>
      </c>
      <c r="E390" s="4">
        <v>1644.06</v>
      </c>
      <c r="F390" s="4">
        <v>164.41</v>
      </c>
      <c r="G390" s="4">
        <v>1417.29</v>
      </c>
      <c r="H390" s="4">
        <v>14.17</v>
      </c>
      <c r="I390" s="4">
        <v>113.38</v>
      </c>
      <c r="J390" s="4">
        <v>74.5</v>
      </c>
      <c r="K390" s="4">
        <v>1277.5999999999999</v>
      </c>
      <c r="L390">
        <f t="shared" si="12"/>
        <v>2025</v>
      </c>
      <c r="M390">
        <f t="shared" si="13"/>
        <v>2</v>
      </c>
    </row>
    <row r="391" spans="1:13" ht="15" customHeight="1" x14ac:dyDescent="0.2">
      <c r="A391" s="3">
        <v>45807</v>
      </c>
      <c r="B391" t="s">
        <v>442</v>
      </c>
      <c r="C391" t="s">
        <v>31</v>
      </c>
      <c r="D391" t="s">
        <v>164</v>
      </c>
      <c r="E391" s="4">
        <v>1749</v>
      </c>
      <c r="F391" s="4">
        <v>253.61</v>
      </c>
      <c r="G391" s="4">
        <v>1507.76</v>
      </c>
      <c r="H391" s="4">
        <v>15.08</v>
      </c>
      <c r="I391" s="4">
        <v>120.62</v>
      </c>
      <c r="J391" s="4">
        <v>74.5</v>
      </c>
      <c r="K391" s="4">
        <v>1285.2</v>
      </c>
      <c r="L391">
        <f t="shared" si="12"/>
        <v>2025</v>
      </c>
      <c r="M391">
        <f t="shared" si="13"/>
        <v>2</v>
      </c>
    </row>
    <row r="392" spans="1:13" ht="15" customHeight="1" x14ac:dyDescent="0.2">
      <c r="A392" s="3">
        <v>45807</v>
      </c>
      <c r="B392" t="s">
        <v>443</v>
      </c>
      <c r="C392" t="s">
        <v>76</v>
      </c>
      <c r="D392" t="s">
        <v>33</v>
      </c>
      <c r="E392" s="4">
        <v>1839.08</v>
      </c>
      <c r="F392" s="4">
        <v>266.67</v>
      </c>
      <c r="G392" s="4">
        <v>1585.41</v>
      </c>
      <c r="H392" s="4">
        <v>15.85</v>
      </c>
      <c r="I392" s="4">
        <v>126.83</v>
      </c>
      <c r="J392" s="4">
        <v>74.5</v>
      </c>
      <c r="K392" s="4">
        <v>1355.23</v>
      </c>
      <c r="L392">
        <f t="shared" si="12"/>
        <v>2025</v>
      </c>
      <c r="M392">
        <f t="shared" si="13"/>
        <v>2</v>
      </c>
    </row>
    <row r="393" spans="1:13" ht="15" customHeight="1" x14ac:dyDescent="0.2">
      <c r="A393" s="3">
        <v>45808</v>
      </c>
      <c r="B393" t="s">
        <v>444</v>
      </c>
      <c r="C393" t="s">
        <v>115</v>
      </c>
      <c r="D393" t="s">
        <v>126</v>
      </c>
      <c r="E393" s="4">
        <v>1779.11</v>
      </c>
      <c r="F393" s="4">
        <v>177.91</v>
      </c>
      <c r="G393" s="4">
        <v>1533.72</v>
      </c>
      <c r="H393" s="4">
        <v>15.34</v>
      </c>
      <c r="I393" s="4">
        <v>122.7</v>
      </c>
      <c r="J393" s="4">
        <v>74.5</v>
      </c>
      <c r="K393" s="4">
        <v>1388.66</v>
      </c>
      <c r="L393">
        <f t="shared" si="12"/>
        <v>2025</v>
      </c>
      <c r="M393">
        <f t="shared" si="13"/>
        <v>2</v>
      </c>
    </row>
    <row r="394" spans="1:13" ht="15" customHeight="1" x14ac:dyDescent="0.2">
      <c r="A394" s="3">
        <v>45809</v>
      </c>
      <c r="B394" t="s">
        <v>445</v>
      </c>
      <c r="C394" t="s">
        <v>446</v>
      </c>
      <c r="D394" t="s">
        <v>38</v>
      </c>
      <c r="E394" s="4">
        <v>1349</v>
      </c>
      <c r="F394" s="4">
        <v>263.06</v>
      </c>
      <c r="G394" s="4">
        <v>1162.93</v>
      </c>
      <c r="H394" s="4">
        <v>0</v>
      </c>
      <c r="I394" s="4">
        <v>0</v>
      </c>
      <c r="J394" s="4">
        <v>149</v>
      </c>
      <c r="K394" s="4">
        <v>936.94</v>
      </c>
      <c r="L394">
        <f t="shared" si="12"/>
        <v>2025</v>
      </c>
      <c r="M394">
        <f t="shared" si="13"/>
        <v>2</v>
      </c>
    </row>
    <row r="395" spans="1:13" ht="15" customHeight="1" x14ac:dyDescent="0.2">
      <c r="A395" s="3">
        <v>45815</v>
      </c>
      <c r="B395" t="s">
        <v>447</v>
      </c>
      <c r="C395" t="s">
        <v>31</v>
      </c>
      <c r="D395" t="s">
        <v>33</v>
      </c>
      <c r="E395" s="4">
        <v>1644.06</v>
      </c>
      <c r="F395" s="4">
        <v>164.41</v>
      </c>
      <c r="G395" s="4">
        <v>1417.29</v>
      </c>
      <c r="H395" s="4">
        <v>14.17</v>
      </c>
      <c r="I395" s="4">
        <v>113.38</v>
      </c>
      <c r="J395" s="4">
        <v>74.5</v>
      </c>
      <c r="K395" s="4">
        <v>1277.5999999999999</v>
      </c>
      <c r="L395">
        <f t="shared" si="12"/>
        <v>2025</v>
      </c>
      <c r="M395">
        <f t="shared" si="13"/>
        <v>2</v>
      </c>
    </row>
    <row r="396" spans="1:13" ht="15" customHeight="1" x14ac:dyDescent="0.2">
      <c r="A396" s="3">
        <v>45816</v>
      </c>
      <c r="B396" t="s">
        <v>448</v>
      </c>
      <c r="C396" t="s">
        <v>76</v>
      </c>
      <c r="D396" t="s">
        <v>35</v>
      </c>
      <c r="E396" s="4">
        <v>1839.08</v>
      </c>
      <c r="F396" s="4">
        <v>266.67</v>
      </c>
      <c r="G396" s="4">
        <v>1585.41</v>
      </c>
      <c r="H396" s="4">
        <v>15.85</v>
      </c>
      <c r="I396" s="4">
        <v>126.83</v>
      </c>
      <c r="J396" s="4">
        <v>74.5</v>
      </c>
      <c r="K396" s="4">
        <v>1355.23</v>
      </c>
      <c r="L396">
        <f t="shared" si="12"/>
        <v>2025</v>
      </c>
      <c r="M396">
        <f t="shared" si="13"/>
        <v>2</v>
      </c>
    </row>
    <row r="397" spans="1:13" ht="15" customHeight="1" x14ac:dyDescent="0.2">
      <c r="A397" s="3">
        <v>45816</v>
      </c>
      <c r="B397" t="s">
        <v>449</v>
      </c>
      <c r="C397" t="s">
        <v>67</v>
      </c>
      <c r="D397" t="s">
        <v>49</v>
      </c>
      <c r="E397" s="4">
        <v>1701.08</v>
      </c>
      <c r="F397" s="4">
        <v>246.66</v>
      </c>
      <c r="G397" s="4">
        <v>1466.45</v>
      </c>
      <c r="H397" s="4">
        <v>14.66</v>
      </c>
      <c r="I397" s="4">
        <v>117.32</v>
      </c>
      <c r="J397" s="4">
        <v>74.5</v>
      </c>
      <c r="K397" s="4">
        <v>1247.94</v>
      </c>
      <c r="L397">
        <f t="shared" si="12"/>
        <v>2025</v>
      </c>
      <c r="M397">
        <f t="shared" si="13"/>
        <v>2</v>
      </c>
    </row>
    <row r="398" spans="1:13" ht="15" customHeight="1" x14ac:dyDescent="0.2">
      <c r="A398" s="3">
        <v>45818</v>
      </c>
      <c r="B398" t="s">
        <v>450</v>
      </c>
      <c r="C398" t="s">
        <v>76</v>
      </c>
      <c r="D398" t="s">
        <v>49</v>
      </c>
      <c r="E398" s="4">
        <v>1839.08</v>
      </c>
      <c r="F398" s="4">
        <v>266.67</v>
      </c>
      <c r="G398" s="4">
        <v>1585.41</v>
      </c>
      <c r="H398" s="4">
        <v>15.85</v>
      </c>
      <c r="I398" s="4">
        <v>126.83</v>
      </c>
      <c r="J398" s="4">
        <v>74.5</v>
      </c>
      <c r="K398" s="4">
        <v>1355.23</v>
      </c>
      <c r="L398">
        <f t="shared" si="12"/>
        <v>2025</v>
      </c>
      <c r="M398">
        <f t="shared" si="13"/>
        <v>2</v>
      </c>
    </row>
    <row r="399" spans="1:13" ht="15" customHeight="1" x14ac:dyDescent="0.2">
      <c r="A399" s="3">
        <v>45819</v>
      </c>
      <c r="B399" t="s">
        <v>451</v>
      </c>
      <c r="C399" t="s">
        <v>90</v>
      </c>
      <c r="D399" t="s">
        <v>126</v>
      </c>
      <c r="E399" s="4">
        <v>299</v>
      </c>
      <c r="F399" s="4">
        <v>43.36</v>
      </c>
      <c r="G399" s="4">
        <v>257.76</v>
      </c>
      <c r="H399" s="4">
        <v>2.58</v>
      </c>
      <c r="I399" s="4">
        <v>20.62</v>
      </c>
      <c r="J399" s="4">
        <v>67.599999999999994</v>
      </c>
      <c r="K399" s="4">
        <v>164.85</v>
      </c>
      <c r="L399">
        <f t="shared" si="12"/>
        <v>2025</v>
      </c>
      <c r="M399">
        <f t="shared" si="13"/>
        <v>2</v>
      </c>
    </row>
    <row r="400" spans="1:13" ht="15" customHeight="1" x14ac:dyDescent="0.2">
      <c r="A400" s="3">
        <v>45820</v>
      </c>
      <c r="B400" t="s">
        <v>452</v>
      </c>
      <c r="C400" t="s">
        <v>67</v>
      </c>
      <c r="D400" t="s">
        <v>38</v>
      </c>
      <c r="E400" s="4">
        <v>1701.08</v>
      </c>
      <c r="F400" s="4">
        <v>246.66</v>
      </c>
      <c r="G400" s="4">
        <v>1466.45</v>
      </c>
      <c r="H400" s="4">
        <v>14.66</v>
      </c>
      <c r="I400" s="4">
        <v>117.32</v>
      </c>
      <c r="J400" s="4">
        <v>74.5</v>
      </c>
      <c r="K400" s="4">
        <v>1247.94</v>
      </c>
      <c r="L400">
        <f t="shared" si="12"/>
        <v>2025</v>
      </c>
      <c r="M400">
        <f t="shared" si="13"/>
        <v>2</v>
      </c>
    </row>
    <row r="401" spans="1:13" ht="15" customHeight="1" x14ac:dyDescent="0.2">
      <c r="A401" s="3">
        <v>45821</v>
      </c>
      <c r="B401" t="s">
        <v>453</v>
      </c>
      <c r="C401" t="s">
        <v>90</v>
      </c>
      <c r="D401" t="s">
        <v>49</v>
      </c>
      <c r="E401" s="4">
        <v>322.05</v>
      </c>
      <c r="F401" s="4">
        <v>46.7</v>
      </c>
      <c r="G401" s="4">
        <v>277.63</v>
      </c>
      <c r="H401" s="4">
        <v>2.78</v>
      </c>
      <c r="I401" s="4">
        <v>22.21</v>
      </c>
      <c r="J401" s="4">
        <v>52.4</v>
      </c>
      <c r="K401" s="4">
        <v>197.97</v>
      </c>
      <c r="L401">
        <f t="shared" si="12"/>
        <v>2025</v>
      </c>
      <c r="M401">
        <f t="shared" si="13"/>
        <v>2</v>
      </c>
    </row>
    <row r="402" spans="1:13" ht="15" customHeight="1" x14ac:dyDescent="0.2">
      <c r="A402" s="3">
        <v>45823</v>
      </c>
      <c r="B402" t="s">
        <v>454</v>
      </c>
      <c r="C402" t="s">
        <v>67</v>
      </c>
      <c r="D402" t="s">
        <v>119</v>
      </c>
      <c r="E402" s="4">
        <v>1701.08</v>
      </c>
      <c r="F402" s="4">
        <v>246.66</v>
      </c>
      <c r="G402" s="4">
        <v>1466.45</v>
      </c>
      <c r="H402" s="4">
        <v>14.66</v>
      </c>
      <c r="I402" s="4">
        <v>117.32</v>
      </c>
      <c r="J402" s="4">
        <v>74.5</v>
      </c>
      <c r="K402" s="4">
        <v>1247.94</v>
      </c>
      <c r="L402">
        <f t="shared" si="12"/>
        <v>2025</v>
      </c>
      <c r="M402">
        <f t="shared" si="13"/>
        <v>2</v>
      </c>
    </row>
    <row r="403" spans="1:13" ht="15" customHeight="1" x14ac:dyDescent="0.2">
      <c r="A403" s="3">
        <v>45824</v>
      </c>
      <c r="B403" t="s">
        <v>455</v>
      </c>
      <c r="C403" t="s">
        <v>76</v>
      </c>
      <c r="D403" t="s">
        <v>38</v>
      </c>
      <c r="E403" s="4">
        <v>1839.08</v>
      </c>
      <c r="F403" s="4">
        <v>266.67</v>
      </c>
      <c r="G403" s="4">
        <v>1585.41</v>
      </c>
      <c r="H403" s="4">
        <v>15.85</v>
      </c>
      <c r="I403" s="4">
        <v>126.83</v>
      </c>
      <c r="J403" s="4">
        <v>74.5</v>
      </c>
      <c r="K403" s="4">
        <v>1355.23</v>
      </c>
      <c r="L403">
        <f t="shared" si="12"/>
        <v>2025</v>
      </c>
      <c r="M403">
        <f t="shared" si="13"/>
        <v>2</v>
      </c>
    </row>
    <row r="404" spans="1:13" ht="15" customHeight="1" x14ac:dyDescent="0.2">
      <c r="A404" s="3">
        <v>45825</v>
      </c>
      <c r="B404" t="s">
        <v>456</v>
      </c>
      <c r="C404" t="s">
        <v>31</v>
      </c>
      <c r="D404" t="s">
        <v>38</v>
      </c>
      <c r="E404" s="4">
        <v>1661.55</v>
      </c>
      <c r="F404" s="4">
        <v>240.92</v>
      </c>
      <c r="G404" s="4">
        <v>1432.37</v>
      </c>
      <c r="H404" s="4">
        <v>14.32</v>
      </c>
      <c r="I404" s="4">
        <v>114.59</v>
      </c>
      <c r="J404" s="4">
        <v>74.5</v>
      </c>
      <c r="K404" s="4">
        <v>1217.21</v>
      </c>
      <c r="L404">
        <f t="shared" si="12"/>
        <v>2025</v>
      </c>
      <c r="M404">
        <f t="shared" si="13"/>
        <v>2</v>
      </c>
    </row>
    <row r="405" spans="1:13" ht="15" customHeight="1" x14ac:dyDescent="0.2">
      <c r="A405" s="3">
        <v>45833</v>
      </c>
      <c r="B405" t="s">
        <v>457</v>
      </c>
      <c r="C405" t="s">
        <v>458</v>
      </c>
      <c r="D405" t="s">
        <v>38</v>
      </c>
      <c r="E405" s="4">
        <v>1849</v>
      </c>
      <c r="F405" s="4">
        <v>268.11</v>
      </c>
      <c r="G405" s="4">
        <v>1593.97</v>
      </c>
      <c r="H405" s="4">
        <v>15.94</v>
      </c>
      <c r="I405" s="4">
        <v>127.52</v>
      </c>
      <c r="J405" s="4">
        <v>74.5</v>
      </c>
      <c r="K405" s="4">
        <v>1362.94</v>
      </c>
      <c r="L405">
        <f t="shared" si="12"/>
        <v>2025</v>
      </c>
      <c r="M405">
        <f t="shared" si="13"/>
        <v>2</v>
      </c>
    </row>
    <row r="406" spans="1:13" ht="15" customHeight="1" x14ac:dyDescent="0.2">
      <c r="A406" s="3">
        <v>45835</v>
      </c>
      <c r="B406" t="s">
        <v>459</v>
      </c>
      <c r="C406" t="s">
        <v>31</v>
      </c>
      <c r="D406" t="s">
        <v>29</v>
      </c>
      <c r="E406" s="4">
        <v>1499</v>
      </c>
      <c r="F406" s="4">
        <v>217.36</v>
      </c>
      <c r="G406" s="4">
        <v>1292.24</v>
      </c>
      <c r="H406" s="4">
        <v>12.92</v>
      </c>
      <c r="I406" s="4">
        <v>103.38</v>
      </c>
      <c r="J406" s="4">
        <v>74.5</v>
      </c>
      <c r="K406" s="4">
        <v>1090.8399999999999</v>
      </c>
      <c r="L406">
        <f t="shared" si="12"/>
        <v>2025</v>
      </c>
      <c r="M406">
        <f t="shared" si="13"/>
        <v>2</v>
      </c>
    </row>
    <row r="407" spans="1:13" ht="15" customHeight="1" x14ac:dyDescent="0.2">
      <c r="A407" s="3">
        <v>45837</v>
      </c>
      <c r="B407" t="s">
        <v>460</v>
      </c>
      <c r="C407" t="s">
        <v>90</v>
      </c>
      <c r="D407" t="s">
        <v>65</v>
      </c>
      <c r="E407" s="4">
        <v>322.05</v>
      </c>
      <c r="F407" s="4">
        <v>46.7</v>
      </c>
      <c r="G407" s="4">
        <v>277.63</v>
      </c>
      <c r="H407" s="4">
        <v>2.78</v>
      </c>
      <c r="I407" s="4">
        <v>22.21</v>
      </c>
      <c r="J407" s="4">
        <v>52.4</v>
      </c>
      <c r="K407" s="4">
        <v>197.97</v>
      </c>
      <c r="L407">
        <f t="shared" si="12"/>
        <v>2025</v>
      </c>
      <c r="M407">
        <f t="shared" si="13"/>
        <v>2</v>
      </c>
    </row>
    <row r="408" spans="1:13" ht="15" customHeight="1" x14ac:dyDescent="0.2">
      <c r="A408" s="3">
        <v>45837</v>
      </c>
      <c r="B408" t="s">
        <v>461</v>
      </c>
      <c r="C408" t="s">
        <v>90</v>
      </c>
      <c r="D408" t="s">
        <v>77</v>
      </c>
      <c r="E408" s="4">
        <v>322.05</v>
      </c>
      <c r="F408" s="4">
        <v>46.7</v>
      </c>
      <c r="G408" s="4">
        <v>277.63</v>
      </c>
      <c r="H408" s="4">
        <v>2.78</v>
      </c>
      <c r="I408" s="4">
        <v>22.21</v>
      </c>
      <c r="J408" s="4">
        <v>52.4</v>
      </c>
      <c r="K408" s="4">
        <v>197.97</v>
      </c>
      <c r="L408">
        <f t="shared" si="12"/>
        <v>2025</v>
      </c>
      <c r="M408">
        <f t="shared" si="13"/>
        <v>2</v>
      </c>
    </row>
    <row r="409" spans="1:13" ht="15" customHeight="1" x14ac:dyDescent="0.2">
      <c r="A409" s="3">
        <v>45838</v>
      </c>
      <c r="B409" t="s">
        <v>462</v>
      </c>
      <c r="C409" t="s">
        <v>90</v>
      </c>
      <c r="D409" t="s">
        <v>93</v>
      </c>
      <c r="E409" s="4">
        <v>322.05</v>
      </c>
      <c r="F409" s="4">
        <v>46.7</v>
      </c>
      <c r="G409" s="4">
        <v>277.63</v>
      </c>
      <c r="H409" s="4">
        <v>2.78</v>
      </c>
      <c r="I409" s="4">
        <v>22.21</v>
      </c>
      <c r="J409" s="4">
        <v>52.4</v>
      </c>
      <c r="K409" s="4">
        <v>197.97</v>
      </c>
      <c r="L409">
        <f t="shared" si="12"/>
        <v>2025</v>
      </c>
      <c r="M409">
        <f t="shared" si="13"/>
        <v>2</v>
      </c>
    </row>
    <row r="410" spans="1:13" ht="15" customHeight="1" x14ac:dyDescent="0.2">
      <c r="A410" s="3">
        <v>45845</v>
      </c>
      <c r="B410" t="s">
        <v>463</v>
      </c>
      <c r="C410" t="s">
        <v>31</v>
      </c>
      <c r="D410" t="s">
        <v>189</v>
      </c>
      <c r="E410" s="4">
        <v>1467</v>
      </c>
      <c r="F410" s="4">
        <v>212.72</v>
      </c>
      <c r="G410" s="4">
        <v>1264.6600000000001</v>
      </c>
      <c r="H410" s="4">
        <v>12.65</v>
      </c>
      <c r="I410" s="4">
        <v>101.17</v>
      </c>
      <c r="J410" s="4">
        <v>74.5</v>
      </c>
      <c r="K410" s="4">
        <v>1065.97</v>
      </c>
      <c r="L410">
        <f t="shared" si="12"/>
        <v>2025</v>
      </c>
      <c r="M410">
        <f t="shared" si="13"/>
        <v>3</v>
      </c>
    </row>
    <row r="411" spans="1:13" ht="15" customHeight="1" x14ac:dyDescent="0.2">
      <c r="A411" s="3">
        <v>45845</v>
      </c>
      <c r="B411" t="s">
        <v>464</v>
      </c>
      <c r="C411" t="s">
        <v>31</v>
      </c>
      <c r="D411" t="s">
        <v>42</v>
      </c>
      <c r="E411" s="4">
        <v>1467</v>
      </c>
      <c r="F411" s="4">
        <v>212.72</v>
      </c>
      <c r="G411" s="4">
        <v>1264.6600000000001</v>
      </c>
      <c r="H411" s="4">
        <v>12.65</v>
      </c>
      <c r="I411" s="4">
        <v>101.17</v>
      </c>
      <c r="J411" s="4">
        <v>74.5</v>
      </c>
      <c r="K411" s="4">
        <v>1065.97</v>
      </c>
      <c r="L411">
        <f t="shared" si="12"/>
        <v>2025</v>
      </c>
      <c r="M411">
        <f t="shared" si="13"/>
        <v>3</v>
      </c>
    </row>
    <row r="412" spans="1:13" ht="15" customHeight="1" x14ac:dyDescent="0.2">
      <c r="A412" s="3">
        <v>45845</v>
      </c>
      <c r="B412" t="s">
        <v>465</v>
      </c>
      <c r="C412" t="s">
        <v>90</v>
      </c>
      <c r="D412" t="s">
        <v>93</v>
      </c>
      <c r="E412" s="4">
        <v>299</v>
      </c>
      <c r="F412" s="4">
        <v>43.36</v>
      </c>
      <c r="G412" s="4">
        <v>257.76</v>
      </c>
      <c r="H412" s="4">
        <v>2.58</v>
      </c>
      <c r="I412" s="4">
        <v>20.62</v>
      </c>
      <c r="J412" s="4">
        <v>67.599999999999994</v>
      </c>
      <c r="K412" s="4">
        <v>164.85</v>
      </c>
      <c r="L412">
        <f t="shared" si="12"/>
        <v>2025</v>
      </c>
      <c r="M412">
        <f t="shared" si="13"/>
        <v>3</v>
      </c>
    </row>
    <row r="413" spans="1:13" ht="15" customHeight="1" x14ac:dyDescent="0.2">
      <c r="A413" s="3">
        <v>45846</v>
      </c>
      <c r="B413" t="s">
        <v>466</v>
      </c>
      <c r="C413" t="s">
        <v>90</v>
      </c>
      <c r="D413" t="s">
        <v>38</v>
      </c>
      <c r="E413" s="4">
        <v>322.05</v>
      </c>
      <c r="F413" s="4">
        <v>46.7</v>
      </c>
      <c r="G413" s="4">
        <v>277.63</v>
      </c>
      <c r="H413" s="4">
        <v>2.78</v>
      </c>
      <c r="I413" s="4">
        <v>22.21</v>
      </c>
      <c r="J413" s="4">
        <v>52.4</v>
      </c>
      <c r="K413" s="4">
        <v>197.97</v>
      </c>
      <c r="L413">
        <f t="shared" si="12"/>
        <v>2025</v>
      </c>
      <c r="M413">
        <f t="shared" si="13"/>
        <v>3</v>
      </c>
    </row>
    <row r="414" spans="1:13" ht="15" customHeight="1" x14ac:dyDescent="0.2">
      <c r="A414" s="3">
        <v>45847</v>
      </c>
      <c r="B414" t="s">
        <v>467</v>
      </c>
      <c r="C414" t="s">
        <v>313</v>
      </c>
      <c r="D414" t="s">
        <v>38</v>
      </c>
      <c r="E414" s="4">
        <v>1632.29</v>
      </c>
      <c r="F414" s="4">
        <v>236.68</v>
      </c>
      <c r="G414" s="4">
        <v>1407.15</v>
      </c>
      <c r="H414" s="4">
        <v>14.07</v>
      </c>
      <c r="I414" s="4">
        <v>112.57</v>
      </c>
      <c r="J414" s="4">
        <v>84.5</v>
      </c>
      <c r="K414" s="4">
        <v>1184.46</v>
      </c>
      <c r="L414">
        <f t="shared" si="12"/>
        <v>2025</v>
      </c>
      <c r="M414">
        <f t="shared" si="13"/>
        <v>3</v>
      </c>
    </row>
    <row r="415" spans="1:13" ht="15" customHeight="1" x14ac:dyDescent="0.2">
      <c r="A415" s="3">
        <v>45847</v>
      </c>
      <c r="B415" t="s">
        <v>468</v>
      </c>
      <c r="C415" t="s">
        <v>52</v>
      </c>
      <c r="D415" t="s">
        <v>49</v>
      </c>
      <c r="E415" s="4">
        <v>299</v>
      </c>
      <c r="F415" s="4">
        <v>58.31</v>
      </c>
      <c r="G415" s="4">
        <v>257.76</v>
      </c>
      <c r="H415" s="4">
        <v>2.58</v>
      </c>
      <c r="I415" s="4">
        <v>20.62</v>
      </c>
      <c r="J415" s="4">
        <v>76</v>
      </c>
      <c r="K415" s="4">
        <v>141.5</v>
      </c>
      <c r="L415">
        <f t="shared" si="12"/>
        <v>2025</v>
      </c>
      <c r="M415">
        <f t="shared" si="13"/>
        <v>3</v>
      </c>
    </row>
    <row r="416" spans="1:13" ht="15" customHeight="1" x14ac:dyDescent="0.2">
      <c r="A416" s="3">
        <v>45848</v>
      </c>
      <c r="B416" t="s">
        <v>469</v>
      </c>
      <c r="C416" t="s">
        <v>115</v>
      </c>
      <c r="D416" t="s">
        <v>93</v>
      </c>
      <c r="E416" s="4">
        <v>1679.16</v>
      </c>
      <c r="F416" s="4">
        <v>243.48</v>
      </c>
      <c r="G416" s="4">
        <v>1447.55</v>
      </c>
      <c r="H416" s="4">
        <v>14.48</v>
      </c>
      <c r="I416" s="4">
        <v>115.8</v>
      </c>
      <c r="J416" s="4">
        <v>74.5</v>
      </c>
      <c r="K416" s="4">
        <v>1230.9000000000001</v>
      </c>
      <c r="L416">
        <f t="shared" si="12"/>
        <v>2025</v>
      </c>
      <c r="M416">
        <f t="shared" si="13"/>
        <v>3</v>
      </c>
    </row>
    <row r="417" spans="1:13" ht="15" customHeight="1" x14ac:dyDescent="0.2">
      <c r="A417" s="3">
        <v>45848</v>
      </c>
      <c r="B417" t="s">
        <v>470</v>
      </c>
      <c r="C417" t="s">
        <v>67</v>
      </c>
      <c r="D417" t="s">
        <v>27</v>
      </c>
      <c r="E417" s="4">
        <v>1649.1</v>
      </c>
      <c r="F417" s="4">
        <v>239.12</v>
      </c>
      <c r="G417" s="4">
        <v>1421.64</v>
      </c>
      <c r="H417" s="4">
        <v>14.22</v>
      </c>
      <c r="I417" s="4">
        <v>113.73</v>
      </c>
      <c r="J417" s="4">
        <v>74.5</v>
      </c>
      <c r="K417" s="4">
        <v>1207.53</v>
      </c>
      <c r="L417">
        <f t="shared" si="12"/>
        <v>2025</v>
      </c>
      <c r="M417">
        <f t="shared" si="13"/>
        <v>3</v>
      </c>
    </row>
    <row r="418" spans="1:13" ht="15" customHeight="1" x14ac:dyDescent="0.2">
      <c r="A418" s="3">
        <v>45849</v>
      </c>
      <c r="B418" t="s">
        <v>471</v>
      </c>
      <c r="C418" t="s">
        <v>90</v>
      </c>
      <c r="D418" t="s">
        <v>93</v>
      </c>
      <c r="E418" s="4">
        <v>299</v>
      </c>
      <c r="F418" s="4">
        <v>43.36</v>
      </c>
      <c r="G418" s="4">
        <v>257.76</v>
      </c>
      <c r="H418" s="4">
        <v>2.58</v>
      </c>
      <c r="I418" s="4">
        <v>20.62</v>
      </c>
      <c r="J418" s="4">
        <v>67.599999999999994</v>
      </c>
      <c r="K418" s="4">
        <v>164.85</v>
      </c>
      <c r="L418">
        <f t="shared" si="12"/>
        <v>2025</v>
      </c>
      <c r="M418">
        <f t="shared" si="13"/>
        <v>3</v>
      </c>
    </row>
    <row r="419" spans="1:13" ht="15" customHeight="1" x14ac:dyDescent="0.2">
      <c r="A419" s="3">
        <v>45849</v>
      </c>
      <c r="B419" t="s">
        <v>472</v>
      </c>
      <c r="C419" t="s">
        <v>473</v>
      </c>
      <c r="D419" t="s">
        <v>93</v>
      </c>
      <c r="E419" s="4">
        <v>1277.29</v>
      </c>
      <c r="F419" s="4">
        <v>185.21</v>
      </c>
      <c r="G419" s="4">
        <v>1101.1099999999999</v>
      </c>
      <c r="H419" s="4">
        <v>11.01</v>
      </c>
      <c r="I419" s="4">
        <v>88.09</v>
      </c>
      <c r="J419" s="4">
        <v>74.5</v>
      </c>
      <c r="K419" s="4">
        <v>918.48</v>
      </c>
      <c r="L419">
        <f t="shared" si="12"/>
        <v>2025</v>
      </c>
      <c r="M419">
        <f t="shared" si="13"/>
        <v>3</v>
      </c>
    </row>
    <row r="420" spans="1:13" ht="15" customHeight="1" x14ac:dyDescent="0.2">
      <c r="A420" s="3">
        <v>45849</v>
      </c>
      <c r="B420" t="s">
        <v>474</v>
      </c>
      <c r="C420" t="s">
        <v>31</v>
      </c>
      <c r="D420" t="s">
        <v>232</v>
      </c>
      <c r="E420" s="4">
        <v>1440</v>
      </c>
      <c r="F420" s="4">
        <v>208.8</v>
      </c>
      <c r="G420" s="4">
        <v>1241.3800000000001</v>
      </c>
      <c r="H420" s="4">
        <v>12.41</v>
      </c>
      <c r="I420" s="4">
        <v>99.31</v>
      </c>
      <c r="J420" s="4">
        <v>74.5</v>
      </c>
      <c r="K420" s="4">
        <v>1044.98</v>
      </c>
      <c r="L420">
        <f t="shared" si="12"/>
        <v>2025</v>
      </c>
      <c r="M420">
        <f t="shared" si="13"/>
        <v>3</v>
      </c>
    </row>
    <row r="421" spans="1:13" ht="15" customHeight="1" x14ac:dyDescent="0.2">
      <c r="A421" s="3">
        <v>45850</v>
      </c>
      <c r="B421" t="s">
        <v>475</v>
      </c>
      <c r="C421" t="s">
        <v>115</v>
      </c>
      <c r="D421" t="s">
        <v>38</v>
      </c>
      <c r="E421" s="4">
        <v>1679.16</v>
      </c>
      <c r="F421" s="4">
        <v>243.48</v>
      </c>
      <c r="G421" s="4">
        <v>1447.55</v>
      </c>
      <c r="H421" s="4">
        <v>14.48</v>
      </c>
      <c r="I421" s="4">
        <v>115.8</v>
      </c>
      <c r="J421" s="4">
        <v>74.5</v>
      </c>
      <c r="K421" s="4">
        <v>1230.9000000000001</v>
      </c>
      <c r="L421">
        <f t="shared" si="12"/>
        <v>2025</v>
      </c>
      <c r="M421">
        <f t="shared" si="13"/>
        <v>3</v>
      </c>
    </row>
    <row r="422" spans="1:13" ht="15" customHeight="1" x14ac:dyDescent="0.2">
      <c r="A422" s="3">
        <v>45851</v>
      </c>
      <c r="B422" t="s">
        <v>476</v>
      </c>
      <c r="C422" t="s">
        <v>31</v>
      </c>
      <c r="D422" t="s">
        <v>164</v>
      </c>
      <c r="E422" s="4">
        <v>1440</v>
      </c>
      <c r="F422" s="4">
        <v>208.8</v>
      </c>
      <c r="G422" s="4">
        <v>1241.3800000000001</v>
      </c>
      <c r="H422" s="4">
        <v>12.41</v>
      </c>
      <c r="I422" s="4">
        <v>99.31</v>
      </c>
      <c r="J422" s="4">
        <v>74.5</v>
      </c>
      <c r="K422" s="4">
        <v>1044.98</v>
      </c>
      <c r="L422">
        <f t="shared" si="12"/>
        <v>2025</v>
      </c>
      <c r="M422">
        <f t="shared" si="13"/>
        <v>3</v>
      </c>
    </row>
    <row r="423" spans="1:13" ht="15" customHeight="1" x14ac:dyDescent="0.2">
      <c r="A423" s="3">
        <v>45852</v>
      </c>
      <c r="B423" t="s">
        <v>477</v>
      </c>
      <c r="C423" t="s">
        <v>31</v>
      </c>
      <c r="D423" t="s">
        <v>38</v>
      </c>
      <c r="E423" s="4">
        <v>1440</v>
      </c>
      <c r="F423" s="4">
        <v>208.8</v>
      </c>
      <c r="G423" s="4">
        <v>1241.3800000000001</v>
      </c>
      <c r="H423" s="4">
        <v>12.41</v>
      </c>
      <c r="I423" s="4">
        <v>99.31</v>
      </c>
      <c r="J423" s="4">
        <v>74.5</v>
      </c>
      <c r="K423" s="4">
        <v>1044.98</v>
      </c>
      <c r="L423">
        <f t="shared" si="12"/>
        <v>2025</v>
      </c>
      <c r="M423">
        <f t="shared" si="13"/>
        <v>3</v>
      </c>
    </row>
    <row r="424" spans="1:13" ht="15" customHeight="1" x14ac:dyDescent="0.2">
      <c r="A424" s="3">
        <v>45854</v>
      </c>
      <c r="B424" t="s">
        <v>478</v>
      </c>
      <c r="C424" t="s">
        <v>31</v>
      </c>
      <c r="D424" t="s">
        <v>93</v>
      </c>
      <c r="E424" s="4">
        <v>1338</v>
      </c>
      <c r="F424" s="4">
        <v>194.01</v>
      </c>
      <c r="G424" s="4">
        <v>1153.45</v>
      </c>
      <c r="H424" s="4">
        <v>11.53</v>
      </c>
      <c r="I424" s="4">
        <v>92.28</v>
      </c>
      <c r="J424" s="4">
        <v>74.5</v>
      </c>
      <c r="K424" s="4">
        <v>965.68</v>
      </c>
      <c r="L424">
        <f t="shared" si="12"/>
        <v>2025</v>
      </c>
      <c r="M424">
        <f t="shared" si="13"/>
        <v>3</v>
      </c>
    </row>
    <row r="425" spans="1:13" ht="15" customHeight="1" x14ac:dyDescent="0.2">
      <c r="A425" s="3">
        <v>45856</v>
      </c>
      <c r="B425" t="s">
        <v>479</v>
      </c>
      <c r="C425" t="s">
        <v>76</v>
      </c>
      <c r="D425" t="s">
        <v>38</v>
      </c>
      <c r="E425" s="4">
        <v>1779.11</v>
      </c>
      <c r="F425" s="4">
        <v>257.97000000000003</v>
      </c>
      <c r="G425" s="4">
        <v>1533.72</v>
      </c>
      <c r="H425" s="4">
        <v>15.34</v>
      </c>
      <c r="I425" s="4">
        <v>122.7</v>
      </c>
      <c r="J425" s="4">
        <v>74.5</v>
      </c>
      <c r="K425" s="4">
        <v>1308.5999999999999</v>
      </c>
      <c r="L425">
        <f t="shared" si="12"/>
        <v>2025</v>
      </c>
      <c r="M425">
        <f t="shared" si="13"/>
        <v>3</v>
      </c>
    </row>
    <row r="426" spans="1:13" ht="15" customHeight="1" x14ac:dyDescent="0.2">
      <c r="A426" s="3">
        <v>45856</v>
      </c>
      <c r="B426" t="s">
        <v>480</v>
      </c>
      <c r="C426" t="s">
        <v>31</v>
      </c>
      <c r="D426" t="s">
        <v>49</v>
      </c>
      <c r="E426" s="4">
        <v>1338</v>
      </c>
      <c r="F426" s="4">
        <v>194.01</v>
      </c>
      <c r="G426" s="4">
        <v>1153.45</v>
      </c>
      <c r="H426" s="4">
        <v>11.53</v>
      </c>
      <c r="I426" s="4">
        <v>92.28</v>
      </c>
      <c r="J426" s="4">
        <v>74.5</v>
      </c>
      <c r="K426" s="4">
        <v>965.68</v>
      </c>
      <c r="L426">
        <f t="shared" si="12"/>
        <v>2025</v>
      </c>
      <c r="M426">
        <f t="shared" si="13"/>
        <v>3</v>
      </c>
    </row>
    <row r="427" spans="1:13" ht="15" customHeight="1" x14ac:dyDescent="0.2">
      <c r="A427" s="3">
        <v>45857</v>
      </c>
      <c r="B427" t="s">
        <v>481</v>
      </c>
      <c r="C427" t="s">
        <v>313</v>
      </c>
      <c r="D427" t="s">
        <v>24</v>
      </c>
      <c r="E427" s="4">
        <v>1632.29</v>
      </c>
      <c r="F427" s="4">
        <v>236.68</v>
      </c>
      <c r="G427" s="4">
        <v>1407.15</v>
      </c>
      <c r="H427" s="4">
        <v>14.07</v>
      </c>
      <c r="I427" s="4">
        <v>112.57</v>
      </c>
      <c r="J427" s="4">
        <v>84.5</v>
      </c>
      <c r="K427" s="4">
        <v>1184.46</v>
      </c>
      <c r="L427">
        <f t="shared" si="12"/>
        <v>2025</v>
      </c>
      <c r="M427">
        <f t="shared" si="13"/>
        <v>3</v>
      </c>
    </row>
    <row r="428" spans="1:13" ht="15" customHeight="1" x14ac:dyDescent="0.2">
      <c r="A428" s="3">
        <v>45858</v>
      </c>
      <c r="B428" t="s">
        <v>482</v>
      </c>
      <c r="C428" t="s">
        <v>165</v>
      </c>
      <c r="D428" t="s">
        <v>140</v>
      </c>
      <c r="E428" s="4">
        <v>379.05</v>
      </c>
      <c r="F428" s="4">
        <v>54.96</v>
      </c>
      <c r="G428" s="4">
        <v>326.77</v>
      </c>
      <c r="H428" s="4">
        <v>3.27</v>
      </c>
      <c r="I428" s="4">
        <v>26.14</v>
      </c>
      <c r="J428" s="4">
        <v>67.599999999999994</v>
      </c>
      <c r="K428" s="4">
        <v>227.08</v>
      </c>
      <c r="L428">
        <f t="shared" si="12"/>
        <v>2025</v>
      </c>
      <c r="M428">
        <f t="shared" si="13"/>
        <v>3</v>
      </c>
    </row>
    <row r="429" spans="1:13" ht="15" customHeight="1" x14ac:dyDescent="0.2">
      <c r="A429" s="3">
        <v>45859</v>
      </c>
      <c r="B429" t="s">
        <v>483</v>
      </c>
      <c r="C429" t="s">
        <v>76</v>
      </c>
      <c r="D429" t="s">
        <v>232</v>
      </c>
      <c r="E429" s="4">
        <v>1779.11</v>
      </c>
      <c r="F429" s="4">
        <v>257.97000000000003</v>
      </c>
      <c r="G429" s="4">
        <v>1533.72</v>
      </c>
      <c r="H429" s="4">
        <v>15.34</v>
      </c>
      <c r="I429" s="4">
        <v>122.7</v>
      </c>
      <c r="J429" s="4">
        <v>74.5</v>
      </c>
      <c r="K429" s="4">
        <v>1308.5999999999999</v>
      </c>
      <c r="L429">
        <f t="shared" si="12"/>
        <v>2025</v>
      </c>
      <c r="M429">
        <f t="shared" si="13"/>
        <v>3</v>
      </c>
    </row>
    <row r="430" spans="1:13" ht="15" customHeight="1" x14ac:dyDescent="0.2">
      <c r="A430" s="3">
        <v>45859</v>
      </c>
      <c r="B430" t="s">
        <v>484</v>
      </c>
      <c r="C430" t="s">
        <v>31</v>
      </c>
      <c r="D430" t="s">
        <v>49</v>
      </c>
      <c r="E430" s="4">
        <v>1338</v>
      </c>
      <c r="F430" s="4">
        <v>194.01</v>
      </c>
      <c r="G430" s="4">
        <v>1153.45</v>
      </c>
      <c r="H430" s="4">
        <v>11.53</v>
      </c>
      <c r="I430" s="4">
        <v>92.28</v>
      </c>
      <c r="J430" s="4">
        <v>74.5</v>
      </c>
      <c r="K430" s="4">
        <v>965.68</v>
      </c>
      <c r="L430">
        <f t="shared" si="12"/>
        <v>2025</v>
      </c>
      <c r="M430">
        <f t="shared" si="13"/>
        <v>3</v>
      </c>
    </row>
    <row r="431" spans="1:13" ht="15" customHeight="1" x14ac:dyDescent="0.2">
      <c r="A431" s="3">
        <v>45861</v>
      </c>
      <c r="B431" t="s">
        <v>485</v>
      </c>
      <c r="C431" t="s">
        <v>31</v>
      </c>
      <c r="D431" t="s">
        <v>77</v>
      </c>
      <c r="E431" s="4">
        <v>1295</v>
      </c>
      <c r="F431" s="4">
        <v>187.78</v>
      </c>
      <c r="G431" s="4">
        <v>1116.3800000000001</v>
      </c>
      <c r="H431" s="4">
        <v>11.16</v>
      </c>
      <c r="I431" s="4">
        <v>89.31</v>
      </c>
      <c r="J431" s="4">
        <v>74.5</v>
      </c>
      <c r="K431" s="4">
        <v>932.25</v>
      </c>
      <c r="L431">
        <f t="shared" si="12"/>
        <v>2025</v>
      </c>
      <c r="M431">
        <f t="shared" si="13"/>
        <v>3</v>
      </c>
    </row>
    <row r="432" spans="1:13" ht="15" customHeight="1" x14ac:dyDescent="0.2">
      <c r="A432" s="3">
        <v>45861</v>
      </c>
      <c r="B432" t="s">
        <v>486</v>
      </c>
      <c r="C432" t="s">
        <v>90</v>
      </c>
      <c r="D432" t="s">
        <v>49</v>
      </c>
      <c r="E432" s="4">
        <v>299</v>
      </c>
      <c r="F432" s="4">
        <v>43.36</v>
      </c>
      <c r="G432" s="4">
        <v>257.76</v>
      </c>
      <c r="H432" s="4">
        <v>2.58</v>
      </c>
      <c r="I432" s="4">
        <v>20.62</v>
      </c>
      <c r="J432" s="4">
        <v>67.599999999999994</v>
      </c>
      <c r="K432" s="4">
        <v>164.85</v>
      </c>
      <c r="L432">
        <f t="shared" si="12"/>
        <v>2025</v>
      </c>
      <c r="M432">
        <f t="shared" si="13"/>
        <v>3</v>
      </c>
    </row>
    <row r="433" spans="1:13" ht="15" customHeight="1" x14ac:dyDescent="0.2">
      <c r="A433" s="3">
        <v>45861</v>
      </c>
      <c r="B433" t="s">
        <v>487</v>
      </c>
      <c r="C433" t="s">
        <v>165</v>
      </c>
      <c r="D433" t="s">
        <v>129</v>
      </c>
      <c r="E433" s="4">
        <v>399</v>
      </c>
      <c r="F433" s="4">
        <v>57.86</v>
      </c>
      <c r="G433" s="4">
        <v>343.97</v>
      </c>
      <c r="H433" s="4">
        <v>3.44</v>
      </c>
      <c r="I433" s="4">
        <v>27.52</v>
      </c>
      <c r="J433" s="4">
        <v>67.599999999999994</v>
      </c>
      <c r="K433" s="4">
        <v>242.59</v>
      </c>
      <c r="L433">
        <f t="shared" si="12"/>
        <v>2025</v>
      </c>
      <c r="M433">
        <f t="shared" si="13"/>
        <v>3</v>
      </c>
    </row>
    <row r="434" spans="1:13" ht="15" customHeight="1" x14ac:dyDescent="0.2">
      <c r="A434" s="3">
        <v>45861</v>
      </c>
      <c r="B434" t="s">
        <v>488</v>
      </c>
      <c r="C434" t="s">
        <v>90</v>
      </c>
      <c r="D434" t="s">
        <v>29</v>
      </c>
      <c r="E434" s="4">
        <v>299</v>
      </c>
      <c r="F434" s="4">
        <v>43.36</v>
      </c>
      <c r="G434" s="4">
        <v>257.76</v>
      </c>
      <c r="H434" s="4">
        <v>2.58</v>
      </c>
      <c r="I434" s="4">
        <v>20.62</v>
      </c>
      <c r="J434" s="4">
        <v>67.599999999999994</v>
      </c>
      <c r="K434" s="4">
        <v>164.85</v>
      </c>
      <c r="L434">
        <f t="shared" si="12"/>
        <v>2025</v>
      </c>
      <c r="M434">
        <f t="shared" si="13"/>
        <v>3</v>
      </c>
    </row>
    <row r="435" spans="1:13" ht="15" customHeight="1" x14ac:dyDescent="0.2">
      <c r="A435" s="3">
        <v>45861</v>
      </c>
      <c r="B435" t="s">
        <v>488</v>
      </c>
      <c r="C435" t="s">
        <v>90</v>
      </c>
      <c r="D435" t="s">
        <v>29</v>
      </c>
      <c r="E435" s="4">
        <v>299</v>
      </c>
      <c r="F435" s="4">
        <v>43.36</v>
      </c>
      <c r="G435" s="4">
        <v>257.76</v>
      </c>
      <c r="H435" s="4">
        <v>2.58</v>
      </c>
      <c r="I435" s="4">
        <v>20.62</v>
      </c>
      <c r="J435" s="4">
        <v>67.599999999999994</v>
      </c>
      <c r="K435" s="4">
        <v>164.85</v>
      </c>
      <c r="L435">
        <f t="shared" si="12"/>
        <v>2025</v>
      </c>
      <c r="M435">
        <f t="shared" si="13"/>
        <v>3</v>
      </c>
    </row>
    <row r="436" spans="1:13" ht="15" customHeight="1" x14ac:dyDescent="0.2">
      <c r="A436" s="3">
        <v>45861</v>
      </c>
      <c r="B436" t="s">
        <v>489</v>
      </c>
      <c r="C436" t="s">
        <v>473</v>
      </c>
      <c r="D436" t="s">
        <v>59</v>
      </c>
      <c r="E436" s="4">
        <v>1411.83</v>
      </c>
      <c r="F436" s="4">
        <v>204.72</v>
      </c>
      <c r="G436" s="4">
        <v>1217.0899999999999</v>
      </c>
      <c r="H436" s="4">
        <v>12.17</v>
      </c>
      <c r="I436" s="4">
        <v>97.37</v>
      </c>
      <c r="J436" s="4">
        <v>74.5</v>
      </c>
      <c r="K436" s="4">
        <v>1023.08</v>
      </c>
      <c r="L436">
        <f t="shared" si="12"/>
        <v>2025</v>
      </c>
      <c r="M436">
        <f t="shared" si="13"/>
        <v>3</v>
      </c>
    </row>
    <row r="437" spans="1:13" ht="15" customHeight="1" x14ac:dyDescent="0.2">
      <c r="A437" s="3">
        <v>45862</v>
      </c>
      <c r="B437" t="s">
        <v>490</v>
      </c>
      <c r="C437" t="s">
        <v>67</v>
      </c>
      <c r="D437" t="s">
        <v>77</v>
      </c>
      <c r="E437" s="4">
        <v>1649.1</v>
      </c>
      <c r="F437" s="4">
        <v>239.12</v>
      </c>
      <c r="G437" s="4">
        <v>1421.64</v>
      </c>
      <c r="H437" s="4">
        <v>14.22</v>
      </c>
      <c r="I437" s="4">
        <v>113.73</v>
      </c>
      <c r="J437" s="4">
        <v>74.5</v>
      </c>
      <c r="K437" s="4">
        <v>1207.53</v>
      </c>
      <c r="L437">
        <f t="shared" si="12"/>
        <v>2025</v>
      </c>
      <c r="M437">
        <f t="shared" si="13"/>
        <v>3</v>
      </c>
    </row>
    <row r="438" spans="1:13" ht="15" customHeight="1" x14ac:dyDescent="0.2">
      <c r="A438" s="3">
        <v>45866</v>
      </c>
      <c r="B438" t="s">
        <v>491</v>
      </c>
      <c r="C438" t="s">
        <v>31</v>
      </c>
      <c r="D438" t="s">
        <v>38</v>
      </c>
      <c r="E438" s="4">
        <v>1295</v>
      </c>
      <c r="F438" s="4">
        <v>129.5</v>
      </c>
      <c r="G438" s="4">
        <v>1116.3800000000001</v>
      </c>
      <c r="H438" s="4">
        <v>11.16</v>
      </c>
      <c r="I438" s="4">
        <v>89.31</v>
      </c>
      <c r="J438" s="4">
        <v>74.5</v>
      </c>
      <c r="K438" s="4">
        <v>990.53</v>
      </c>
      <c r="L438">
        <f t="shared" si="12"/>
        <v>2025</v>
      </c>
      <c r="M438">
        <f t="shared" si="13"/>
        <v>3</v>
      </c>
    </row>
    <row r="439" spans="1:13" ht="15" customHeight="1" x14ac:dyDescent="0.2">
      <c r="A439" s="3">
        <v>45867</v>
      </c>
      <c r="B439" t="s">
        <v>492</v>
      </c>
      <c r="C439" t="s">
        <v>90</v>
      </c>
      <c r="D439" t="s">
        <v>35</v>
      </c>
      <c r="E439" s="4">
        <v>299</v>
      </c>
      <c r="F439" s="4">
        <v>43.36</v>
      </c>
      <c r="G439" s="4">
        <v>257.76</v>
      </c>
      <c r="H439" s="4">
        <v>2.58</v>
      </c>
      <c r="I439" s="4">
        <v>20.62</v>
      </c>
      <c r="J439" s="4">
        <v>67.599999999999994</v>
      </c>
      <c r="K439" s="4">
        <v>164.85</v>
      </c>
      <c r="L439">
        <f t="shared" si="12"/>
        <v>2025</v>
      </c>
      <c r="M439">
        <f t="shared" si="13"/>
        <v>3</v>
      </c>
    </row>
    <row r="440" spans="1:13" ht="15" customHeight="1" x14ac:dyDescent="0.2">
      <c r="A440" s="3">
        <v>45869</v>
      </c>
      <c r="B440" t="s">
        <v>493</v>
      </c>
      <c r="C440" t="s">
        <v>52</v>
      </c>
      <c r="D440" t="s">
        <v>93</v>
      </c>
      <c r="E440" s="4">
        <v>333</v>
      </c>
      <c r="F440" s="4">
        <v>64.94</v>
      </c>
      <c r="G440" s="4">
        <v>287.07</v>
      </c>
      <c r="H440" s="4">
        <v>2.87</v>
      </c>
      <c r="I440" s="4">
        <v>22.97</v>
      </c>
      <c r="J440" s="4">
        <v>67.599999999999994</v>
      </c>
      <c r="K440" s="4">
        <v>174.63</v>
      </c>
      <c r="L440">
        <f t="shared" si="12"/>
        <v>2025</v>
      </c>
      <c r="M440">
        <f t="shared" si="13"/>
        <v>3</v>
      </c>
    </row>
    <row r="441" spans="1:13" ht="15" customHeight="1" x14ac:dyDescent="0.2">
      <c r="A441" s="3">
        <v>45869</v>
      </c>
      <c r="B441" t="s">
        <v>494</v>
      </c>
      <c r="C441" t="s">
        <v>185</v>
      </c>
      <c r="D441" t="s">
        <v>27</v>
      </c>
      <c r="E441" s="4">
        <v>598</v>
      </c>
      <c r="F441" s="4">
        <v>86.71</v>
      </c>
      <c r="G441" s="4">
        <v>515.52</v>
      </c>
      <c r="H441" s="4">
        <v>5.16</v>
      </c>
      <c r="I441" s="4">
        <v>41.24</v>
      </c>
      <c r="J441" s="4">
        <v>135.19999999999999</v>
      </c>
      <c r="K441" s="4">
        <v>329.69</v>
      </c>
      <c r="L441">
        <f t="shared" si="12"/>
        <v>2025</v>
      </c>
      <c r="M441">
        <f t="shared" si="13"/>
        <v>3</v>
      </c>
    </row>
    <row r="442" spans="1:13" ht="15" customHeight="1" x14ac:dyDescent="0.2">
      <c r="A442" s="3">
        <v>45870</v>
      </c>
      <c r="B442" t="s">
        <v>495</v>
      </c>
      <c r="C442" t="s">
        <v>31</v>
      </c>
      <c r="D442" t="s">
        <v>164</v>
      </c>
      <c r="E442" s="4">
        <v>1309</v>
      </c>
      <c r="F442" s="4">
        <v>189.81</v>
      </c>
      <c r="G442" s="4">
        <v>1128.45</v>
      </c>
      <c r="H442" s="4">
        <v>11.28</v>
      </c>
      <c r="I442" s="4">
        <v>90.28</v>
      </c>
      <c r="J442" s="4">
        <v>74.5</v>
      </c>
      <c r="K442" s="4">
        <v>943.13</v>
      </c>
      <c r="L442">
        <f t="shared" si="12"/>
        <v>2025</v>
      </c>
      <c r="M442">
        <f t="shared" si="13"/>
        <v>3</v>
      </c>
    </row>
    <row r="443" spans="1:13" ht="15" customHeight="1" x14ac:dyDescent="0.2">
      <c r="A443" s="3">
        <v>45870</v>
      </c>
      <c r="B443" t="s">
        <v>496</v>
      </c>
      <c r="C443" t="s">
        <v>31</v>
      </c>
      <c r="D443" t="s">
        <v>59</v>
      </c>
      <c r="E443" s="4">
        <v>1309</v>
      </c>
      <c r="F443" s="4">
        <v>189.81</v>
      </c>
      <c r="G443" s="4">
        <v>1128.45</v>
      </c>
      <c r="H443" s="4">
        <v>11.28</v>
      </c>
      <c r="I443" s="4">
        <v>90.28</v>
      </c>
      <c r="J443" s="4">
        <v>74.5</v>
      </c>
      <c r="K443" s="4">
        <v>943.13</v>
      </c>
      <c r="L443">
        <f t="shared" si="12"/>
        <v>2025</v>
      </c>
      <c r="M443">
        <f t="shared" si="13"/>
        <v>3</v>
      </c>
    </row>
    <row r="444" spans="1:13" ht="15" customHeight="1" x14ac:dyDescent="0.2">
      <c r="A444" s="3">
        <v>45870</v>
      </c>
      <c r="B444" t="s">
        <v>497</v>
      </c>
      <c r="C444" t="s">
        <v>31</v>
      </c>
      <c r="D444" t="s">
        <v>85</v>
      </c>
      <c r="E444" s="4">
        <v>1309</v>
      </c>
      <c r="F444" s="4">
        <v>189.81</v>
      </c>
      <c r="G444" s="4">
        <v>1128.45</v>
      </c>
      <c r="H444" s="4">
        <v>11.28</v>
      </c>
      <c r="I444" s="4">
        <v>90.28</v>
      </c>
      <c r="J444" s="4">
        <v>74.5</v>
      </c>
      <c r="K444" s="4">
        <v>943.13</v>
      </c>
      <c r="L444">
        <f t="shared" si="12"/>
        <v>2025</v>
      </c>
      <c r="M444">
        <f t="shared" si="13"/>
        <v>3</v>
      </c>
    </row>
    <row r="445" spans="1:13" ht="15" customHeight="1" x14ac:dyDescent="0.2">
      <c r="A445" s="3">
        <v>45870</v>
      </c>
      <c r="B445" t="s">
        <v>498</v>
      </c>
      <c r="C445" t="s">
        <v>31</v>
      </c>
      <c r="D445" t="s">
        <v>38</v>
      </c>
      <c r="E445" s="4">
        <v>1309</v>
      </c>
      <c r="F445" s="4">
        <v>189.81</v>
      </c>
      <c r="G445" s="4">
        <v>1128.45</v>
      </c>
      <c r="H445" s="4">
        <v>11.28</v>
      </c>
      <c r="I445" s="4">
        <v>90.28</v>
      </c>
      <c r="J445" s="4">
        <v>74.5</v>
      </c>
      <c r="K445" s="4">
        <v>943.13</v>
      </c>
      <c r="L445">
        <f t="shared" si="12"/>
        <v>2025</v>
      </c>
      <c r="M445">
        <f t="shared" si="13"/>
        <v>3</v>
      </c>
    </row>
    <row r="446" spans="1:13" ht="15" customHeight="1" x14ac:dyDescent="0.2">
      <c r="A446" s="3">
        <v>45870</v>
      </c>
      <c r="B446" t="s">
        <v>499</v>
      </c>
      <c r="C446" t="s">
        <v>31</v>
      </c>
      <c r="D446" t="s">
        <v>21</v>
      </c>
      <c r="E446" s="4">
        <v>1309</v>
      </c>
      <c r="F446" s="4">
        <v>189.81</v>
      </c>
      <c r="G446" s="4">
        <v>1128.45</v>
      </c>
      <c r="H446" s="4">
        <v>11.28</v>
      </c>
      <c r="I446" s="4">
        <v>90.28</v>
      </c>
      <c r="J446" s="4">
        <v>74.5</v>
      </c>
      <c r="K446" s="4">
        <v>943.13</v>
      </c>
      <c r="L446">
        <f t="shared" si="12"/>
        <v>2025</v>
      </c>
      <c r="M446">
        <f t="shared" si="13"/>
        <v>3</v>
      </c>
    </row>
    <row r="447" spans="1:13" ht="15" customHeight="1" x14ac:dyDescent="0.2">
      <c r="A447" s="3">
        <v>45873</v>
      </c>
      <c r="B447" t="s">
        <v>500</v>
      </c>
      <c r="C447" t="s">
        <v>76</v>
      </c>
      <c r="D447" t="s">
        <v>215</v>
      </c>
      <c r="E447" s="4">
        <v>1999</v>
      </c>
      <c r="F447" s="4">
        <v>289.86</v>
      </c>
      <c r="G447" s="4">
        <v>1723.28</v>
      </c>
      <c r="H447" s="4">
        <v>17.23</v>
      </c>
      <c r="I447" s="4">
        <v>137.86000000000001</v>
      </c>
      <c r="J447" s="4">
        <v>74.5</v>
      </c>
      <c r="K447" s="4">
        <v>1479.55</v>
      </c>
      <c r="L447">
        <f t="shared" si="12"/>
        <v>2025</v>
      </c>
      <c r="M447">
        <f t="shared" si="13"/>
        <v>3</v>
      </c>
    </row>
    <row r="448" spans="1:13" ht="15" customHeight="1" x14ac:dyDescent="0.2">
      <c r="A448" s="3">
        <v>45873</v>
      </c>
      <c r="B448" t="s">
        <v>501</v>
      </c>
      <c r="C448" t="s">
        <v>90</v>
      </c>
      <c r="D448" t="s">
        <v>38</v>
      </c>
      <c r="E448" s="4">
        <v>299</v>
      </c>
      <c r="F448" s="4">
        <v>43.36</v>
      </c>
      <c r="G448" s="4">
        <v>257.76</v>
      </c>
      <c r="H448" s="4">
        <v>2.58</v>
      </c>
      <c r="I448" s="4">
        <v>20.62</v>
      </c>
      <c r="J448" s="4">
        <v>67.599999999999994</v>
      </c>
      <c r="K448" s="4">
        <v>164.85</v>
      </c>
      <c r="L448">
        <f t="shared" si="12"/>
        <v>2025</v>
      </c>
      <c r="M448">
        <f t="shared" si="13"/>
        <v>3</v>
      </c>
    </row>
    <row r="449" spans="1:13" ht="15" customHeight="1" x14ac:dyDescent="0.2">
      <c r="A449" s="3">
        <v>45873</v>
      </c>
      <c r="B449" t="s">
        <v>502</v>
      </c>
      <c r="C449" t="s">
        <v>67</v>
      </c>
      <c r="D449" t="s">
        <v>38</v>
      </c>
      <c r="E449" s="4">
        <v>1661.55</v>
      </c>
      <c r="F449" s="4">
        <v>240.92</v>
      </c>
      <c r="G449" s="4">
        <v>1432.37</v>
      </c>
      <c r="H449" s="4">
        <v>14.32</v>
      </c>
      <c r="I449" s="4">
        <v>114.59</v>
      </c>
      <c r="J449" s="4">
        <v>74.5</v>
      </c>
      <c r="K449" s="4">
        <v>1217.21</v>
      </c>
      <c r="L449">
        <f t="shared" si="12"/>
        <v>2025</v>
      </c>
      <c r="M449">
        <f t="shared" si="13"/>
        <v>3</v>
      </c>
    </row>
    <row r="450" spans="1:13" ht="15" customHeight="1" x14ac:dyDescent="0.2">
      <c r="A450" s="3">
        <v>45874</v>
      </c>
      <c r="B450" t="s">
        <v>503</v>
      </c>
      <c r="C450" t="s">
        <v>67</v>
      </c>
      <c r="D450" t="s">
        <v>38</v>
      </c>
      <c r="E450" s="4">
        <v>1661.55</v>
      </c>
      <c r="F450" s="4">
        <v>240.92</v>
      </c>
      <c r="G450" s="4">
        <v>1432.37</v>
      </c>
      <c r="H450" s="4">
        <v>14.32</v>
      </c>
      <c r="I450" s="4">
        <v>114.59</v>
      </c>
      <c r="J450" s="4">
        <v>74.5</v>
      </c>
      <c r="K450" s="4">
        <v>1217.21</v>
      </c>
      <c r="L450">
        <f t="shared" ref="L450:L513" si="14">YEAR(A450)</f>
        <v>2025</v>
      </c>
      <c r="M450">
        <f t="shared" ref="M450:M513" si="15">ROUNDUP(MONTH(A450)/3,0)</f>
        <v>3</v>
      </c>
    </row>
    <row r="451" spans="1:13" ht="15" customHeight="1" x14ac:dyDescent="0.2">
      <c r="A451" s="3">
        <v>45875</v>
      </c>
      <c r="B451" t="s">
        <v>504</v>
      </c>
      <c r="C451" t="s">
        <v>31</v>
      </c>
      <c r="D451" t="s">
        <v>33</v>
      </c>
      <c r="E451" s="4">
        <v>1499</v>
      </c>
      <c r="F451" s="4">
        <v>217.36</v>
      </c>
      <c r="G451" s="4">
        <v>1292.24</v>
      </c>
      <c r="H451" s="4">
        <v>12.92</v>
      </c>
      <c r="I451" s="4">
        <v>103.38</v>
      </c>
      <c r="J451" s="4">
        <v>74.5</v>
      </c>
      <c r="K451" s="4">
        <v>1090.8399999999999</v>
      </c>
      <c r="L451">
        <f t="shared" si="14"/>
        <v>2025</v>
      </c>
      <c r="M451">
        <f t="shared" si="15"/>
        <v>3</v>
      </c>
    </row>
    <row r="452" spans="1:13" ht="15" customHeight="1" x14ac:dyDescent="0.2">
      <c r="A452" s="3">
        <v>45875</v>
      </c>
      <c r="B452" t="s">
        <v>505</v>
      </c>
      <c r="C452" t="s">
        <v>115</v>
      </c>
      <c r="D452" t="s">
        <v>33</v>
      </c>
      <c r="E452" s="4">
        <v>1819.09</v>
      </c>
      <c r="F452" s="4">
        <v>263.77</v>
      </c>
      <c r="G452" s="4">
        <v>1568.18</v>
      </c>
      <c r="H452" s="4">
        <v>15.68</v>
      </c>
      <c r="I452" s="4">
        <v>125.45</v>
      </c>
      <c r="J452" s="4">
        <v>74.5</v>
      </c>
      <c r="K452" s="4">
        <v>1339.69</v>
      </c>
      <c r="L452">
        <f t="shared" si="14"/>
        <v>2025</v>
      </c>
      <c r="M452">
        <f t="shared" si="15"/>
        <v>3</v>
      </c>
    </row>
    <row r="453" spans="1:13" ht="15" customHeight="1" x14ac:dyDescent="0.2">
      <c r="A453" s="3">
        <v>45876</v>
      </c>
      <c r="B453" t="s">
        <v>506</v>
      </c>
      <c r="C453" t="s">
        <v>31</v>
      </c>
      <c r="D453" t="s">
        <v>56</v>
      </c>
      <c r="E453" s="4">
        <v>1499</v>
      </c>
      <c r="F453" s="4">
        <v>217.36</v>
      </c>
      <c r="G453" s="4">
        <v>1292.24</v>
      </c>
      <c r="H453" s="4">
        <v>12.92</v>
      </c>
      <c r="I453" s="4">
        <v>103.38</v>
      </c>
      <c r="J453" s="4">
        <v>74.5</v>
      </c>
      <c r="K453" s="4">
        <v>1090.8399999999999</v>
      </c>
      <c r="L453">
        <f t="shared" si="14"/>
        <v>2025</v>
      </c>
      <c r="M453">
        <f t="shared" si="15"/>
        <v>3</v>
      </c>
    </row>
    <row r="454" spans="1:13" ht="15" customHeight="1" x14ac:dyDescent="0.2">
      <c r="A454" s="3">
        <v>45876</v>
      </c>
      <c r="B454" t="s">
        <v>507</v>
      </c>
      <c r="C454" t="s">
        <v>31</v>
      </c>
      <c r="D454" t="s">
        <v>93</v>
      </c>
      <c r="E454" s="4">
        <v>1499</v>
      </c>
      <c r="F454" s="4">
        <v>217.36</v>
      </c>
      <c r="G454" s="4">
        <v>1292.24</v>
      </c>
      <c r="H454" s="4">
        <v>12.92</v>
      </c>
      <c r="I454" s="4">
        <v>103.38</v>
      </c>
      <c r="J454" s="4">
        <v>74.5</v>
      </c>
      <c r="K454" s="4">
        <v>1090.8399999999999</v>
      </c>
      <c r="L454">
        <f t="shared" si="14"/>
        <v>2025</v>
      </c>
      <c r="M454">
        <f t="shared" si="15"/>
        <v>3</v>
      </c>
    </row>
    <row r="455" spans="1:13" ht="15" customHeight="1" x14ac:dyDescent="0.2">
      <c r="A455" s="3">
        <v>45877</v>
      </c>
      <c r="B455" t="s">
        <v>508</v>
      </c>
      <c r="C455" t="s">
        <v>165</v>
      </c>
      <c r="D455" t="s">
        <v>93</v>
      </c>
      <c r="E455" s="4">
        <v>381.04</v>
      </c>
      <c r="F455" s="4">
        <v>55.25</v>
      </c>
      <c r="G455" s="4">
        <v>328.48</v>
      </c>
      <c r="H455" s="4">
        <v>3.28</v>
      </c>
      <c r="I455" s="4">
        <v>26.28</v>
      </c>
      <c r="J455" s="4">
        <v>67.599999999999994</v>
      </c>
      <c r="K455" s="4">
        <v>228.63</v>
      </c>
      <c r="L455">
        <f t="shared" si="14"/>
        <v>2025</v>
      </c>
      <c r="M455">
        <f t="shared" si="15"/>
        <v>3</v>
      </c>
    </row>
    <row r="456" spans="1:13" ht="15" customHeight="1" x14ac:dyDescent="0.2">
      <c r="A456" s="3">
        <v>45877</v>
      </c>
      <c r="B456" t="s">
        <v>509</v>
      </c>
      <c r="C456" t="s">
        <v>115</v>
      </c>
      <c r="D456" t="s">
        <v>109</v>
      </c>
      <c r="E456" s="4">
        <v>1819.09</v>
      </c>
      <c r="F456" s="4">
        <v>263.77</v>
      </c>
      <c r="G456" s="4">
        <v>1568.18</v>
      </c>
      <c r="H456" s="4">
        <v>15.68</v>
      </c>
      <c r="I456" s="4">
        <v>125.45</v>
      </c>
      <c r="J456" s="4">
        <v>74.5</v>
      </c>
      <c r="K456" s="4">
        <v>1339.69</v>
      </c>
      <c r="L456">
        <f t="shared" si="14"/>
        <v>2025</v>
      </c>
      <c r="M456">
        <f t="shared" si="15"/>
        <v>3</v>
      </c>
    </row>
    <row r="457" spans="1:13" ht="15" customHeight="1" x14ac:dyDescent="0.2">
      <c r="A457" s="3">
        <v>45880</v>
      </c>
      <c r="B457" t="s">
        <v>510</v>
      </c>
      <c r="C457" t="s">
        <v>31</v>
      </c>
      <c r="D457" t="s">
        <v>93</v>
      </c>
      <c r="E457" s="4">
        <v>1599</v>
      </c>
      <c r="F457" s="4">
        <v>231.86</v>
      </c>
      <c r="G457" s="4">
        <v>1378.45</v>
      </c>
      <c r="H457" s="4">
        <v>13.78</v>
      </c>
      <c r="I457" s="4">
        <v>110.28</v>
      </c>
      <c r="J457" s="4">
        <v>74.5</v>
      </c>
      <c r="K457" s="4">
        <v>1168.58</v>
      </c>
      <c r="L457">
        <f t="shared" si="14"/>
        <v>2025</v>
      </c>
      <c r="M457">
        <f t="shared" si="15"/>
        <v>3</v>
      </c>
    </row>
    <row r="458" spans="1:13" ht="15" customHeight="1" x14ac:dyDescent="0.2">
      <c r="A458" s="3">
        <v>45880</v>
      </c>
      <c r="B458" t="s">
        <v>509</v>
      </c>
      <c r="C458" t="s">
        <v>90</v>
      </c>
      <c r="D458" t="s">
        <v>109</v>
      </c>
      <c r="E458" s="4">
        <v>299</v>
      </c>
      <c r="F458" s="4">
        <v>43.36</v>
      </c>
      <c r="G458" s="4">
        <v>257.76</v>
      </c>
      <c r="H458" s="4">
        <v>2.58</v>
      </c>
      <c r="I458" s="4">
        <v>20.62</v>
      </c>
      <c r="J458" s="4">
        <v>67.599999999999994</v>
      </c>
      <c r="K458" s="4">
        <v>164.85</v>
      </c>
      <c r="L458">
        <f t="shared" si="14"/>
        <v>2025</v>
      </c>
      <c r="M458">
        <f t="shared" si="15"/>
        <v>3</v>
      </c>
    </row>
    <row r="459" spans="1:13" ht="15" customHeight="1" x14ac:dyDescent="0.2">
      <c r="A459" s="3">
        <v>45881</v>
      </c>
      <c r="B459" t="s">
        <v>511</v>
      </c>
      <c r="C459" t="s">
        <v>115</v>
      </c>
      <c r="D459" t="s">
        <v>140</v>
      </c>
      <c r="E459" s="4">
        <v>1899.05</v>
      </c>
      <c r="F459" s="4">
        <v>275.36</v>
      </c>
      <c r="G459" s="4">
        <v>1637.11</v>
      </c>
      <c r="H459" s="4">
        <v>16.37</v>
      </c>
      <c r="I459" s="4">
        <v>130.97</v>
      </c>
      <c r="J459" s="4">
        <v>74.5</v>
      </c>
      <c r="K459" s="4">
        <v>1401.85</v>
      </c>
      <c r="L459">
        <f t="shared" si="14"/>
        <v>2025</v>
      </c>
      <c r="M459">
        <f t="shared" si="15"/>
        <v>3</v>
      </c>
    </row>
    <row r="460" spans="1:13" ht="15" customHeight="1" x14ac:dyDescent="0.2">
      <c r="A460" s="3">
        <v>45884</v>
      </c>
      <c r="B460" t="s">
        <v>512</v>
      </c>
      <c r="C460" t="s">
        <v>90</v>
      </c>
      <c r="D460" t="s">
        <v>232</v>
      </c>
      <c r="E460" s="4">
        <v>322.05</v>
      </c>
      <c r="F460" s="4">
        <v>46.7</v>
      </c>
      <c r="G460" s="4">
        <v>277.63</v>
      </c>
      <c r="H460" s="4">
        <v>2.78</v>
      </c>
      <c r="I460" s="4">
        <v>22.21</v>
      </c>
      <c r="J460" s="4">
        <v>52.4</v>
      </c>
      <c r="K460" s="4">
        <v>197.97</v>
      </c>
      <c r="L460">
        <f t="shared" si="14"/>
        <v>2025</v>
      </c>
      <c r="M460">
        <f t="shared" si="15"/>
        <v>3</v>
      </c>
    </row>
    <row r="461" spans="1:13" ht="15" customHeight="1" x14ac:dyDescent="0.2">
      <c r="A461" s="3">
        <v>45885</v>
      </c>
      <c r="B461" t="s">
        <v>513</v>
      </c>
      <c r="C461" t="s">
        <v>31</v>
      </c>
      <c r="D461" t="s">
        <v>77</v>
      </c>
      <c r="E461" s="4">
        <v>1599</v>
      </c>
      <c r="F461" s="4">
        <v>231.86</v>
      </c>
      <c r="G461" s="4">
        <v>1378.45</v>
      </c>
      <c r="H461" s="4">
        <v>13.78</v>
      </c>
      <c r="I461" s="4">
        <v>110.28</v>
      </c>
      <c r="J461" s="4">
        <v>74.5</v>
      </c>
      <c r="K461" s="4">
        <v>1168.58</v>
      </c>
      <c r="L461">
        <f t="shared" si="14"/>
        <v>2025</v>
      </c>
      <c r="M461">
        <f t="shared" si="15"/>
        <v>3</v>
      </c>
    </row>
    <row r="462" spans="1:13" ht="15" customHeight="1" x14ac:dyDescent="0.2">
      <c r="A462" s="3">
        <v>45886</v>
      </c>
      <c r="B462" t="s">
        <v>514</v>
      </c>
      <c r="C462" t="s">
        <v>515</v>
      </c>
      <c r="D462" t="s">
        <v>314</v>
      </c>
      <c r="E462" s="4">
        <v>439</v>
      </c>
      <c r="F462" s="4">
        <v>85.61</v>
      </c>
      <c r="G462" s="4">
        <v>378.45</v>
      </c>
      <c r="H462" s="4">
        <v>3.78</v>
      </c>
      <c r="I462" s="4">
        <v>30.28</v>
      </c>
      <c r="J462" s="4">
        <v>67.599999999999994</v>
      </c>
      <c r="K462" s="4">
        <v>251.73</v>
      </c>
      <c r="L462">
        <f t="shared" si="14"/>
        <v>2025</v>
      </c>
      <c r="M462">
        <f t="shared" si="15"/>
        <v>3</v>
      </c>
    </row>
    <row r="463" spans="1:13" ht="15" customHeight="1" x14ac:dyDescent="0.2">
      <c r="A463" s="3">
        <v>45888</v>
      </c>
      <c r="B463" t="s">
        <v>516</v>
      </c>
      <c r="C463" t="s">
        <v>31</v>
      </c>
      <c r="D463" t="s">
        <v>140</v>
      </c>
      <c r="E463" s="4">
        <v>1599</v>
      </c>
      <c r="F463" s="4">
        <v>231.86</v>
      </c>
      <c r="G463" s="4">
        <v>1378.45</v>
      </c>
      <c r="H463" s="4">
        <v>13.78</v>
      </c>
      <c r="I463" s="4">
        <v>110.28</v>
      </c>
      <c r="J463" s="4">
        <v>74.5</v>
      </c>
      <c r="K463" s="4">
        <v>1168.58</v>
      </c>
      <c r="L463">
        <f t="shared" si="14"/>
        <v>2025</v>
      </c>
      <c r="M463">
        <f t="shared" si="15"/>
        <v>3</v>
      </c>
    </row>
    <row r="464" spans="1:13" ht="15" customHeight="1" x14ac:dyDescent="0.2">
      <c r="A464" s="3">
        <v>45889</v>
      </c>
      <c r="B464" t="s">
        <v>517</v>
      </c>
      <c r="C464" t="s">
        <v>31</v>
      </c>
      <c r="D464" t="s">
        <v>38</v>
      </c>
      <c r="E464" s="4">
        <v>1649</v>
      </c>
      <c r="F464" s="4">
        <v>239.11</v>
      </c>
      <c r="G464" s="4">
        <v>1421.55</v>
      </c>
      <c r="H464" s="4">
        <v>14.22</v>
      </c>
      <c r="I464" s="4">
        <v>113.72</v>
      </c>
      <c r="J464" s="4">
        <v>74.5</v>
      </c>
      <c r="K464" s="4">
        <v>1207.46</v>
      </c>
      <c r="L464">
        <f t="shared" si="14"/>
        <v>2025</v>
      </c>
      <c r="M464">
        <f t="shared" si="15"/>
        <v>3</v>
      </c>
    </row>
    <row r="465" spans="1:13" ht="15" customHeight="1" x14ac:dyDescent="0.2">
      <c r="A465" s="3">
        <v>45889</v>
      </c>
      <c r="B465" t="s">
        <v>518</v>
      </c>
      <c r="C465" t="s">
        <v>31</v>
      </c>
      <c r="D465" t="s">
        <v>164</v>
      </c>
      <c r="E465" s="4">
        <v>1649</v>
      </c>
      <c r="F465" s="4">
        <v>239.11</v>
      </c>
      <c r="G465" s="4">
        <v>1421.55</v>
      </c>
      <c r="H465" s="4">
        <v>14.22</v>
      </c>
      <c r="I465" s="4">
        <v>113.72</v>
      </c>
      <c r="J465" s="4">
        <v>74.5</v>
      </c>
      <c r="K465" s="4">
        <v>1207.46</v>
      </c>
      <c r="L465">
        <f t="shared" si="14"/>
        <v>2025</v>
      </c>
      <c r="M465">
        <f t="shared" si="15"/>
        <v>3</v>
      </c>
    </row>
    <row r="466" spans="1:13" ht="15" customHeight="1" x14ac:dyDescent="0.2">
      <c r="A466" s="3">
        <v>45889</v>
      </c>
      <c r="B466" t="s">
        <v>519</v>
      </c>
      <c r="C466" t="s">
        <v>26</v>
      </c>
      <c r="D466" t="s">
        <v>49</v>
      </c>
      <c r="E466" s="4">
        <v>84.99</v>
      </c>
      <c r="F466" s="4">
        <v>41.57</v>
      </c>
      <c r="G466" s="4">
        <v>73.27</v>
      </c>
      <c r="H466" s="4">
        <v>0.73</v>
      </c>
      <c r="I466" s="4">
        <v>5.86</v>
      </c>
      <c r="J466" s="4">
        <v>0</v>
      </c>
      <c r="K466" s="4">
        <v>36.83</v>
      </c>
      <c r="L466">
        <f t="shared" si="14"/>
        <v>2025</v>
      </c>
      <c r="M466">
        <f t="shared" si="15"/>
        <v>3</v>
      </c>
    </row>
    <row r="467" spans="1:13" ht="15" customHeight="1" x14ac:dyDescent="0.2">
      <c r="A467" s="3">
        <v>45890</v>
      </c>
      <c r="B467" t="s">
        <v>520</v>
      </c>
      <c r="C467" t="s">
        <v>31</v>
      </c>
      <c r="D467" t="s">
        <v>85</v>
      </c>
      <c r="E467" s="4">
        <v>1649</v>
      </c>
      <c r="F467" s="4">
        <v>239.11</v>
      </c>
      <c r="G467" s="4">
        <v>1421.55</v>
      </c>
      <c r="H467" s="4">
        <v>14.22</v>
      </c>
      <c r="I467" s="4">
        <v>113.72</v>
      </c>
      <c r="J467" s="4">
        <v>74.5</v>
      </c>
      <c r="K467" s="4">
        <v>1207.46</v>
      </c>
      <c r="L467">
        <f t="shared" si="14"/>
        <v>2025</v>
      </c>
      <c r="M467">
        <f t="shared" si="15"/>
        <v>3</v>
      </c>
    </row>
    <row r="468" spans="1:13" ht="15" customHeight="1" x14ac:dyDescent="0.2">
      <c r="A468" s="3">
        <v>45893</v>
      </c>
      <c r="B468" t="s">
        <v>521</v>
      </c>
      <c r="C468" t="s">
        <v>67</v>
      </c>
      <c r="D468" t="s">
        <v>42</v>
      </c>
      <c r="E468" s="4">
        <v>1091</v>
      </c>
      <c r="F468" s="4">
        <v>158.19999999999999</v>
      </c>
      <c r="G468" s="4">
        <v>940.52</v>
      </c>
      <c r="H468" s="4">
        <v>9.41</v>
      </c>
      <c r="I468" s="4">
        <v>75.239999999999995</v>
      </c>
      <c r="J468" s="4">
        <v>74.5</v>
      </c>
      <c r="K468" s="4">
        <v>773.66</v>
      </c>
      <c r="L468">
        <f t="shared" si="14"/>
        <v>2025</v>
      </c>
      <c r="M468">
        <f t="shared" si="15"/>
        <v>3</v>
      </c>
    </row>
    <row r="469" spans="1:13" ht="15" customHeight="1" x14ac:dyDescent="0.2">
      <c r="A469" s="3">
        <v>45893</v>
      </c>
      <c r="B469" t="s">
        <v>522</v>
      </c>
      <c r="C469" t="s">
        <v>67</v>
      </c>
      <c r="D469" t="s">
        <v>42</v>
      </c>
      <c r="E469" s="4">
        <v>1091</v>
      </c>
      <c r="F469" s="4">
        <v>158.19999999999999</v>
      </c>
      <c r="G469" s="4">
        <v>940.52</v>
      </c>
      <c r="H469" s="4">
        <v>9.41</v>
      </c>
      <c r="I469" s="4">
        <v>75.239999999999995</v>
      </c>
      <c r="J469" s="4">
        <v>74.5</v>
      </c>
      <c r="K469" s="4">
        <v>773.66</v>
      </c>
      <c r="L469">
        <f t="shared" si="14"/>
        <v>2025</v>
      </c>
      <c r="M469">
        <f t="shared" si="15"/>
        <v>3</v>
      </c>
    </row>
    <row r="470" spans="1:13" ht="15" customHeight="1" x14ac:dyDescent="0.2">
      <c r="A470" s="3">
        <v>45893</v>
      </c>
      <c r="B470" t="s">
        <v>523</v>
      </c>
      <c r="C470" t="s">
        <v>67</v>
      </c>
      <c r="D470" t="s">
        <v>42</v>
      </c>
      <c r="E470" s="4">
        <v>1091</v>
      </c>
      <c r="F470" s="4">
        <v>158.19999999999999</v>
      </c>
      <c r="G470" s="4">
        <v>940.52</v>
      </c>
      <c r="H470" s="4">
        <v>9.41</v>
      </c>
      <c r="I470" s="4">
        <v>75.239999999999995</v>
      </c>
      <c r="J470" s="4">
        <v>74.5</v>
      </c>
      <c r="K470" s="4">
        <v>773.66</v>
      </c>
      <c r="L470">
        <f t="shared" si="14"/>
        <v>2025</v>
      </c>
      <c r="M470">
        <f t="shared" si="15"/>
        <v>3</v>
      </c>
    </row>
    <row r="471" spans="1:13" ht="15" customHeight="1" x14ac:dyDescent="0.2">
      <c r="A471" s="3">
        <v>45894</v>
      </c>
      <c r="B471" t="s">
        <v>524</v>
      </c>
      <c r="C471" t="s">
        <v>67</v>
      </c>
      <c r="D471" t="s">
        <v>77</v>
      </c>
      <c r="E471" s="4">
        <v>1091</v>
      </c>
      <c r="F471" s="4">
        <v>158.19999999999999</v>
      </c>
      <c r="G471" s="4">
        <v>940.52</v>
      </c>
      <c r="H471" s="4">
        <v>9.41</v>
      </c>
      <c r="I471" s="4">
        <v>75.239999999999995</v>
      </c>
      <c r="J471" s="4">
        <v>74.5</v>
      </c>
      <c r="K471" s="4">
        <v>773.66</v>
      </c>
      <c r="L471">
        <f t="shared" si="14"/>
        <v>2025</v>
      </c>
      <c r="M471">
        <f t="shared" si="15"/>
        <v>3</v>
      </c>
    </row>
    <row r="472" spans="1:13" ht="15" customHeight="1" x14ac:dyDescent="0.2">
      <c r="A472" s="3">
        <v>45895</v>
      </c>
      <c r="B472" t="s">
        <v>525</v>
      </c>
      <c r="C472" t="s">
        <v>90</v>
      </c>
      <c r="D472" t="s">
        <v>56</v>
      </c>
      <c r="E472" s="4">
        <v>308.49</v>
      </c>
      <c r="F472" s="4">
        <v>44.73</v>
      </c>
      <c r="G472" s="4">
        <v>265.94</v>
      </c>
      <c r="H472" s="4">
        <v>2.66</v>
      </c>
      <c r="I472" s="4">
        <v>21.28</v>
      </c>
      <c r="J472" s="4">
        <v>52.4</v>
      </c>
      <c r="K472" s="4">
        <v>187.42</v>
      </c>
      <c r="L472">
        <f t="shared" si="14"/>
        <v>2025</v>
      </c>
      <c r="M472">
        <f t="shared" si="15"/>
        <v>3</v>
      </c>
    </row>
    <row r="473" spans="1:13" ht="15" customHeight="1" x14ac:dyDescent="0.2">
      <c r="A473" s="3">
        <v>45895</v>
      </c>
      <c r="B473" t="s">
        <v>526</v>
      </c>
      <c r="C473" t="s">
        <v>31</v>
      </c>
      <c r="D473" t="s">
        <v>129</v>
      </c>
      <c r="E473" s="4">
        <v>1649</v>
      </c>
      <c r="F473" s="4">
        <v>239.11</v>
      </c>
      <c r="G473" s="4">
        <v>1421.55</v>
      </c>
      <c r="H473" s="4">
        <v>14.22</v>
      </c>
      <c r="I473" s="4">
        <v>113.72</v>
      </c>
      <c r="J473" s="4">
        <v>74.5</v>
      </c>
      <c r="K473" s="4">
        <v>1207.46</v>
      </c>
      <c r="L473">
        <f t="shared" si="14"/>
        <v>2025</v>
      </c>
      <c r="M473">
        <f t="shared" si="15"/>
        <v>3</v>
      </c>
    </row>
    <row r="474" spans="1:13" ht="15" customHeight="1" x14ac:dyDescent="0.2">
      <c r="A474" s="3">
        <v>45895</v>
      </c>
      <c r="B474" t="s">
        <v>527</v>
      </c>
      <c r="C474" t="s">
        <v>31</v>
      </c>
      <c r="D474" t="s">
        <v>38</v>
      </c>
      <c r="E474" s="4">
        <v>1649</v>
      </c>
      <c r="F474" s="4">
        <v>239.11</v>
      </c>
      <c r="G474" s="4">
        <v>1421.55</v>
      </c>
      <c r="H474" s="4">
        <v>14.22</v>
      </c>
      <c r="I474" s="4">
        <v>113.72</v>
      </c>
      <c r="J474" s="4">
        <v>74.5</v>
      </c>
      <c r="K474" s="4">
        <v>1207.46</v>
      </c>
      <c r="L474">
        <f t="shared" si="14"/>
        <v>2025</v>
      </c>
      <c r="M474">
        <f t="shared" si="15"/>
        <v>3</v>
      </c>
    </row>
    <row r="475" spans="1:13" ht="15" customHeight="1" x14ac:dyDescent="0.2">
      <c r="A475" s="3">
        <v>45895</v>
      </c>
      <c r="B475" t="s">
        <v>528</v>
      </c>
      <c r="C475" t="s">
        <v>31</v>
      </c>
      <c r="D475" t="s">
        <v>38</v>
      </c>
      <c r="E475" s="4">
        <v>1649</v>
      </c>
      <c r="F475" s="4">
        <v>239.11</v>
      </c>
      <c r="G475" s="4">
        <v>1421.55</v>
      </c>
      <c r="H475" s="4">
        <v>14.22</v>
      </c>
      <c r="I475" s="4">
        <v>113.72</v>
      </c>
      <c r="J475" s="4">
        <v>74.5</v>
      </c>
      <c r="K475" s="4">
        <v>1207.46</v>
      </c>
      <c r="L475">
        <f t="shared" si="14"/>
        <v>2025</v>
      </c>
      <c r="M475">
        <f t="shared" si="15"/>
        <v>3</v>
      </c>
    </row>
    <row r="476" spans="1:13" ht="15" customHeight="1" x14ac:dyDescent="0.2">
      <c r="A476" s="3">
        <v>45897</v>
      </c>
      <c r="B476" t="s">
        <v>529</v>
      </c>
      <c r="C476" t="s">
        <v>31</v>
      </c>
      <c r="D476" t="s">
        <v>109</v>
      </c>
      <c r="E476" s="4">
        <v>1649</v>
      </c>
      <c r="F476" s="4">
        <v>239.11</v>
      </c>
      <c r="G476" s="4">
        <v>1421.55</v>
      </c>
      <c r="H476" s="4">
        <v>14.22</v>
      </c>
      <c r="I476" s="4">
        <v>113.72</v>
      </c>
      <c r="J476" s="4">
        <v>74.5</v>
      </c>
      <c r="K476" s="4">
        <v>1207.46</v>
      </c>
      <c r="L476">
        <f t="shared" si="14"/>
        <v>2025</v>
      </c>
      <c r="M476">
        <f t="shared" si="15"/>
        <v>3</v>
      </c>
    </row>
    <row r="477" spans="1:13" ht="15" customHeight="1" x14ac:dyDescent="0.2">
      <c r="A477" s="3">
        <v>45901</v>
      </c>
      <c r="B477" t="s">
        <v>530</v>
      </c>
      <c r="C477" t="s">
        <v>67</v>
      </c>
      <c r="D477" t="s">
        <v>93</v>
      </c>
      <c r="E477" s="4">
        <v>1053</v>
      </c>
      <c r="F477" s="4">
        <v>152.69</v>
      </c>
      <c r="G477" s="4">
        <v>907.76</v>
      </c>
      <c r="H477" s="4">
        <v>9.08</v>
      </c>
      <c r="I477" s="4">
        <v>72.62</v>
      </c>
      <c r="J477" s="4">
        <v>74.5</v>
      </c>
      <c r="K477" s="4">
        <v>744.12</v>
      </c>
      <c r="L477">
        <f t="shared" si="14"/>
        <v>2025</v>
      </c>
      <c r="M477">
        <f t="shared" si="15"/>
        <v>3</v>
      </c>
    </row>
    <row r="478" spans="1:13" ht="15" customHeight="1" x14ac:dyDescent="0.2">
      <c r="A478" s="3">
        <v>45902</v>
      </c>
      <c r="B478" t="s">
        <v>531</v>
      </c>
      <c r="C478" t="s">
        <v>31</v>
      </c>
      <c r="D478" t="s">
        <v>33</v>
      </c>
      <c r="E478" s="4">
        <v>1649</v>
      </c>
      <c r="F478" s="4">
        <v>239.11</v>
      </c>
      <c r="G478" s="4">
        <v>1421.55</v>
      </c>
      <c r="H478" s="4">
        <v>14.22</v>
      </c>
      <c r="I478" s="4">
        <v>113.72</v>
      </c>
      <c r="J478" s="4">
        <v>74.5</v>
      </c>
      <c r="K478" s="4">
        <v>1207.46</v>
      </c>
      <c r="L478">
        <f t="shared" si="14"/>
        <v>2025</v>
      </c>
      <c r="M478">
        <f t="shared" si="15"/>
        <v>3</v>
      </c>
    </row>
    <row r="479" spans="1:13" ht="15" customHeight="1" x14ac:dyDescent="0.2">
      <c r="A479" s="3">
        <v>45902</v>
      </c>
      <c r="B479" t="s">
        <v>532</v>
      </c>
      <c r="C479" t="s">
        <v>90</v>
      </c>
      <c r="D479" t="s">
        <v>38</v>
      </c>
      <c r="E479" s="4">
        <v>339</v>
      </c>
      <c r="F479" s="4">
        <v>49.16</v>
      </c>
      <c r="G479" s="4">
        <v>292.24</v>
      </c>
      <c r="H479" s="4">
        <v>2.92</v>
      </c>
      <c r="I479" s="4">
        <v>23.38</v>
      </c>
      <c r="J479" s="4">
        <v>52.4</v>
      </c>
      <c r="K479" s="4">
        <v>211.14</v>
      </c>
      <c r="L479">
        <f t="shared" si="14"/>
        <v>2025</v>
      </c>
      <c r="M479">
        <f t="shared" si="15"/>
        <v>3</v>
      </c>
    </row>
    <row r="480" spans="1:13" ht="15" customHeight="1" x14ac:dyDescent="0.2">
      <c r="A480" s="3">
        <v>45903</v>
      </c>
      <c r="B480" t="s">
        <v>533</v>
      </c>
      <c r="C480" t="s">
        <v>31</v>
      </c>
      <c r="D480" t="s">
        <v>27</v>
      </c>
      <c r="E480" s="4">
        <v>1649</v>
      </c>
      <c r="F480" s="4">
        <v>239.11</v>
      </c>
      <c r="G480" s="4">
        <v>1421.55</v>
      </c>
      <c r="H480" s="4">
        <v>14.22</v>
      </c>
      <c r="I480" s="4">
        <v>113.72</v>
      </c>
      <c r="J480" s="4">
        <v>74.5</v>
      </c>
      <c r="K480" s="4">
        <v>1207.46</v>
      </c>
      <c r="L480">
        <f t="shared" si="14"/>
        <v>2025</v>
      </c>
      <c r="M480">
        <f t="shared" si="15"/>
        <v>3</v>
      </c>
    </row>
    <row r="481" spans="1:13" ht="15" customHeight="1" x14ac:dyDescent="0.2">
      <c r="A481" s="3">
        <v>45904</v>
      </c>
      <c r="B481" t="s">
        <v>534</v>
      </c>
      <c r="C481" t="s">
        <v>31</v>
      </c>
      <c r="D481" t="s">
        <v>164</v>
      </c>
      <c r="E481" s="4">
        <v>1649</v>
      </c>
      <c r="F481" s="4">
        <v>239.11</v>
      </c>
      <c r="G481" s="4">
        <v>1421.55</v>
      </c>
      <c r="H481" s="4">
        <v>14.22</v>
      </c>
      <c r="I481" s="4">
        <v>113.72</v>
      </c>
      <c r="J481" s="4">
        <v>74.5</v>
      </c>
      <c r="K481" s="4">
        <v>1207.46</v>
      </c>
      <c r="L481">
        <f t="shared" si="14"/>
        <v>2025</v>
      </c>
      <c r="M481">
        <f t="shared" si="15"/>
        <v>3</v>
      </c>
    </row>
    <row r="482" spans="1:13" ht="15" customHeight="1" x14ac:dyDescent="0.2">
      <c r="A482" s="3">
        <v>45905</v>
      </c>
      <c r="B482" t="s">
        <v>535</v>
      </c>
      <c r="C482" t="s">
        <v>76</v>
      </c>
      <c r="D482" t="s">
        <v>93</v>
      </c>
      <c r="E482" s="4">
        <v>1799.1</v>
      </c>
      <c r="F482" s="4">
        <v>260.87</v>
      </c>
      <c r="G482" s="4">
        <v>1550.95</v>
      </c>
      <c r="H482" s="4">
        <v>15.51</v>
      </c>
      <c r="I482" s="4">
        <v>124.08</v>
      </c>
      <c r="J482" s="4">
        <v>157.5</v>
      </c>
      <c r="K482" s="4">
        <v>1241.1500000000001</v>
      </c>
      <c r="L482">
        <f t="shared" si="14"/>
        <v>2025</v>
      </c>
      <c r="M482">
        <f t="shared" si="15"/>
        <v>3</v>
      </c>
    </row>
    <row r="483" spans="1:13" ht="15" customHeight="1" x14ac:dyDescent="0.2">
      <c r="A483" s="3">
        <v>45906</v>
      </c>
      <c r="B483" t="s">
        <v>536</v>
      </c>
      <c r="C483" t="s">
        <v>515</v>
      </c>
      <c r="D483" t="s">
        <v>77</v>
      </c>
      <c r="E483" s="4">
        <v>429.6</v>
      </c>
      <c r="F483" s="4">
        <v>83.77</v>
      </c>
      <c r="G483" s="4">
        <v>370.34</v>
      </c>
      <c r="H483" s="4">
        <v>3.7</v>
      </c>
      <c r="I483" s="4">
        <v>29.63</v>
      </c>
      <c r="J483" s="4">
        <v>67.599999999999994</v>
      </c>
      <c r="K483" s="4">
        <v>244.9</v>
      </c>
      <c r="L483">
        <f t="shared" si="14"/>
        <v>2025</v>
      </c>
      <c r="M483">
        <f t="shared" si="15"/>
        <v>3</v>
      </c>
    </row>
    <row r="484" spans="1:13" ht="15" customHeight="1" x14ac:dyDescent="0.2">
      <c r="A484" s="3">
        <v>45908</v>
      </c>
      <c r="B484" t="s">
        <v>537</v>
      </c>
      <c r="C484" t="s">
        <v>90</v>
      </c>
      <c r="D484" t="s">
        <v>29</v>
      </c>
      <c r="E484" s="4">
        <v>303</v>
      </c>
      <c r="F484" s="4">
        <v>43.94</v>
      </c>
      <c r="G484" s="4">
        <v>261.20999999999998</v>
      </c>
      <c r="H484" s="4">
        <v>2.61</v>
      </c>
      <c r="I484" s="4">
        <v>20.9</v>
      </c>
      <c r="J484" s="4">
        <v>52.4</v>
      </c>
      <c r="K484" s="4">
        <v>183.16</v>
      </c>
      <c r="L484">
        <f t="shared" si="14"/>
        <v>2025</v>
      </c>
      <c r="M484">
        <f t="shared" si="15"/>
        <v>3</v>
      </c>
    </row>
    <row r="485" spans="1:13" ht="15" customHeight="1" x14ac:dyDescent="0.2">
      <c r="A485" s="3">
        <v>45908</v>
      </c>
      <c r="B485" t="s">
        <v>538</v>
      </c>
      <c r="C485" t="s">
        <v>31</v>
      </c>
      <c r="D485" t="s">
        <v>140</v>
      </c>
      <c r="E485" s="4">
        <v>1649</v>
      </c>
      <c r="F485" s="4">
        <v>239.11</v>
      </c>
      <c r="G485" s="4">
        <v>1421.55</v>
      </c>
      <c r="H485" s="4">
        <v>14.22</v>
      </c>
      <c r="I485" s="4">
        <v>113.72</v>
      </c>
      <c r="J485" s="4">
        <v>74.5</v>
      </c>
      <c r="K485" s="4">
        <v>1207.46</v>
      </c>
      <c r="L485">
        <f t="shared" si="14"/>
        <v>2025</v>
      </c>
      <c r="M485">
        <f t="shared" si="15"/>
        <v>3</v>
      </c>
    </row>
    <row r="486" spans="1:13" ht="15" customHeight="1" x14ac:dyDescent="0.2">
      <c r="A486" s="3">
        <v>45908</v>
      </c>
      <c r="B486" t="s">
        <v>539</v>
      </c>
      <c r="C486" t="s">
        <v>31</v>
      </c>
      <c r="D486" t="s">
        <v>59</v>
      </c>
      <c r="E486" s="4">
        <v>1649</v>
      </c>
      <c r="F486" s="4">
        <v>239.11</v>
      </c>
      <c r="G486" s="4">
        <v>1421.55</v>
      </c>
      <c r="H486" s="4">
        <v>14.22</v>
      </c>
      <c r="I486" s="4">
        <v>113.72</v>
      </c>
      <c r="J486" s="4">
        <v>74.5</v>
      </c>
      <c r="K486" s="4">
        <v>1207.46</v>
      </c>
      <c r="L486">
        <f t="shared" si="14"/>
        <v>2025</v>
      </c>
      <c r="M486">
        <f t="shared" si="15"/>
        <v>3</v>
      </c>
    </row>
    <row r="487" spans="1:13" ht="15" customHeight="1" x14ac:dyDescent="0.2">
      <c r="A487" s="3">
        <v>45908</v>
      </c>
      <c r="B487" t="s">
        <v>540</v>
      </c>
      <c r="C487" t="s">
        <v>541</v>
      </c>
      <c r="D487" t="s">
        <v>93</v>
      </c>
      <c r="E487" s="4">
        <v>399</v>
      </c>
      <c r="F487" s="4">
        <v>77.81</v>
      </c>
      <c r="G487" s="4">
        <v>343.97</v>
      </c>
      <c r="H487" s="4">
        <v>3.44</v>
      </c>
      <c r="I487" s="4">
        <v>27.52</v>
      </c>
      <c r="J487" s="4">
        <v>67.599999999999994</v>
      </c>
      <c r="K487" s="4">
        <v>222.64</v>
      </c>
      <c r="L487">
        <f t="shared" si="14"/>
        <v>2025</v>
      </c>
      <c r="M487">
        <f t="shared" si="15"/>
        <v>3</v>
      </c>
    </row>
    <row r="488" spans="1:13" ht="15" customHeight="1" x14ac:dyDescent="0.2">
      <c r="A488" s="3">
        <v>45908</v>
      </c>
      <c r="B488" t="s">
        <v>542</v>
      </c>
      <c r="C488" t="s">
        <v>90</v>
      </c>
      <c r="D488" t="s">
        <v>33</v>
      </c>
      <c r="E488" s="4">
        <v>303</v>
      </c>
      <c r="F488" s="4">
        <v>43.94</v>
      </c>
      <c r="G488" s="4">
        <v>261.20999999999998</v>
      </c>
      <c r="H488" s="4">
        <v>2.61</v>
      </c>
      <c r="I488" s="4">
        <v>20.9</v>
      </c>
      <c r="J488" s="4">
        <v>52.4</v>
      </c>
      <c r="K488" s="4">
        <v>183.16</v>
      </c>
      <c r="L488">
        <f t="shared" si="14"/>
        <v>2025</v>
      </c>
      <c r="M488">
        <f t="shared" si="15"/>
        <v>3</v>
      </c>
    </row>
    <row r="489" spans="1:13" ht="15" customHeight="1" x14ac:dyDescent="0.2">
      <c r="A489" s="3">
        <v>45908</v>
      </c>
      <c r="B489" t="s">
        <v>542</v>
      </c>
      <c r="C489" t="s">
        <v>90</v>
      </c>
      <c r="D489" t="s">
        <v>33</v>
      </c>
      <c r="E489" s="4">
        <v>303</v>
      </c>
      <c r="F489" s="4">
        <v>43.94</v>
      </c>
      <c r="G489" s="4">
        <v>261.20999999999998</v>
      </c>
      <c r="H489" s="4">
        <v>2.61</v>
      </c>
      <c r="I489" s="4">
        <v>20.9</v>
      </c>
      <c r="J489" s="4">
        <v>52.4</v>
      </c>
      <c r="K489" s="4">
        <v>183.16</v>
      </c>
      <c r="L489">
        <f t="shared" si="14"/>
        <v>2025</v>
      </c>
      <c r="M489">
        <f t="shared" si="15"/>
        <v>3</v>
      </c>
    </row>
    <row r="490" spans="1:13" ht="15" customHeight="1" x14ac:dyDescent="0.2">
      <c r="A490" s="3">
        <v>45911</v>
      </c>
      <c r="B490" t="s">
        <v>543</v>
      </c>
      <c r="C490" t="s">
        <v>541</v>
      </c>
      <c r="D490" t="s">
        <v>164</v>
      </c>
      <c r="E490" s="4">
        <v>399</v>
      </c>
      <c r="F490" s="4">
        <v>77.81</v>
      </c>
      <c r="G490" s="4">
        <v>343.97</v>
      </c>
      <c r="H490" s="4">
        <v>3.44</v>
      </c>
      <c r="I490" s="4">
        <v>27.52</v>
      </c>
      <c r="J490" s="4">
        <v>67.599999999999994</v>
      </c>
      <c r="K490" s="4">
        <v>222.64</v>
      </c>
      <c r="L490">
        <f t="shared" si="14"/>
        <v>2025</v>
      </c>
      <c r="M490">
        <f t="shared" si="15"/>
        <v>3</v>
      </c>
    </row>
    <row r="491" spans="1:13" ht="15" customHeight="1" x14ac:dyDescent="0.2">
      <c r="A491" s="3">
        <v>45913</v>
      </c>
      <c r="B491" t="s">
        <v>544</v>
      </c>
      <c r="C491" t="s">
        <v>165</v>
      </c>
      <c r="D491" t="s">
        <v>27</v>
      </c>
      <c r="E491" s="4">
        <v>372.54</v>
      </c>
      <c r="F491" s="4">
        <v>54.02</v>
      </c>
      <c r="G491" s="4">
        <v>321.16000000000003</v>
      </c>
      <c r="H491" s="4">
        <v>3.21</v>
      </c>
      <c r="I491" s="4">
        <v>25.69</v>
      </c>
      <c r="J491" s="4">
        <v>67.599999999999994</v>
      </c>
      <c r="K491" s="4">
        <v>222.02</v>
      </c>
      <c r="L491">
        <f t="shared" si="14"/>
        <v>2025</v>
      </c>
      <c r="M491">
        <f t="shared" si="15"/>
        <v>3</v>
      </c>
    </row>
    <row r="492" spans="1:13" ht="15" customHeight="1" x14ac:dyDescent="0.2">
      <c r="A492" s="3">
        <v>45913</v>
      </c>
      <c r="B492" t="s">
        <v>544</v>
      </c>
      <c r="C492" t="s">
        <v>90</v>
      </c>
      <c r="D492" t="s">
        <v>27</v>
      </c>
      <c r="E492" s="4">
        <v>303</v>
      </c>
      <c r="F492" s="4">
        <v>43.94</v>
      </c>
      <c r="G492" s="4">
        <v>261.20999999999998</v>
      </c>
      <c r="H492" s="4">
        <v>2.61</v>
      </c>
      <c r="I492" s="4">
        <v>20.9</v>
      </c>
      <c r="J492" s="4">
        <v>52.4</v>
      </c>
      <c r="K492" s="4">
        <v>183.16</v>
      </c>
      <c r="L492">
        <f t="shared" si="14"/>
        <v>2025</v>
      </c>
      <c r="M492">
        <f t="shared" si="15"/>
        <v>3</v>
      </c>
    </row>
    <row r="493" spans="1:13" ht="15" customHeight="1" x14ac:dyDescent="0.2">
      <c r="A493" s="3">
        <v>45913</v>
      </c>
      <c r="B493" t="s">
        <v>545</v>
      </c>
      <c r="C493" t="s">
        <v>115</v>
      </c>
      <c r="D493" t="s">
        <v>93</v>
      </c>
      <c r="E493" s="4">
        <v>1799.1</v>
      </c>
      <c r="F493" s="4">
        <v>260.87</v>
      </c>
      <c r="G493" s="4">
        <v>1550.95</v>
      </c>
      <c r="H493" s="4">
        <v>15.51</v>
      </c>
      <c r="I493" s="4">
        <v>124.08</v>
      </c>
      <c r="J493" s="4">
        <v>74.5</v>
      </c>
      <c r="K493" s="4">
        <v>1324.15</v>
      </c>
      <c r="L493">
        <f t="shared" si="14"/>
        <v>2025</v>
      </c>
      <c r="M493">
        <f t="shared" si="15"/>
        <v>3</v>
      </c>
    </row>
    <row r="494" spans="1:13" ht="15" customHeight="1" x14ac:dyDescent="0.2">
      <c r="A494" s="3">
        <v>45914</v>
      </c>
      <c r="B494" t="s">
        <v>546</v>
      </c>
      <c r="C494" t="s">
        <v>52</v>
      </c>
      <c r="D494" t="s">
        <v>42</v>
      </c>
      <c r="E494" s="4">
        <v>318.01</v>
      </c>
      <c r="F494" s="4">
        <v>62.01</v>
      </c>
      <c r="G494" s="4">
        <v>274.14999999999998</v>
      </c>
      <c r="H494" s="4">
        <v>2.74</v>
      </c>
      <c r="I494" s="4">
        <v>21.93</v>
      </c>
      <c r="J494" s="4">
        <v>67.599999999999994</v>
      </c>
      <c r="K494" s="4">
        <v>163.72</v>
      </c>
      <c r="L494">
        <f t="shared" si="14"/>
        <v>2025</v>
      </c>
      <c r="M494">
        <f t="shared" si="15"/>
        <v>3</v>
      </c>
    </row>
    <row r="495" spans="1:13" ht="15" customHeight="1" x14ac:dyDescent="0.2">
      <c r="A495" s="3">
        <v>45914</v>
      </c>
      <c r="B495" t="s">
        <v>547</v>
      </c>
      <c r="C495" t="s">
        <v>67</v>
      </c>
      <c r="D495" t="s">
        <v>215</v>
      </c>
      <c r="E495" s="4">
        <v>1053</v>
      </c>
      <c r="F495" s="4">
        <v>152.69</v>
      </c>
      <c r="G495" s="4">
        <v>907.76</v>
      </c>
      <c r="H495" s="4">
        <v>9.08</v>
      </c>
      <c r="I495" s="4">
        <v>72.62</v>
      </c>
      <c r="J495" s="4">
        <v>74.5</v>
      </c>
      <c r="K495" s="4">
        <v>744.12</v>
      </c>
      <c r="L495">
        <f t="shared" si="14"/>
        <v>2025</v>
      </c>
      <c r="M495">
        <f t="shared" si="15"/>
        <v>3</v>
      </c>
    </row>
    <row r="496" spans="1:13" ht="15" customHeight="1" x14ac:dyDescent="0.2">
      <c r="A496" s="3">
        <v>45914</v>
      </c>
      <c r="B496" t="s">
        <v>548</v>
      </c>
      <c r="C496" t="s">
        <v>67</v>
      </c>
      <c r="D496" t="s">
        <v>126</v>
      </c>
      <c r="E496" s="4">
        <v>1110</v>
      </c>
      <c r="F496" s="4">
        <v>160.94999999999999</v>
      </c>
      <c r="G496" s="4">
        <v>956.9</v>
      </c>
      <c r="H496" s="4">
        <v>9.57</v>
      </c>
      <c r="I496" s="4">
        <v>76.55</v>
      </c>
      <c r="J496" s="4">
        <v>74.5</v>
      </c>
      <c r="K496" s="4">
        <v>788.43</v>
      </c>
      <c r="L496">
        <f t="shared" si="14"/>
        <v>2025</v>
      </c>
      <c r="M496">
        <f t="shared" si="15"/>
        <v>3</v>
      </c>
    </row>
    <row r="497" spans="1:13" ht="15" customHeight="1" x14ac:dyDescent="0.2">
      <c r="A497" s="3">
        <v>45916</v>
      </c>
      <c r="B497" t="s">
        <v>549</v>
      </c>
      <c r="C497" t="s">
        <v>550</v>
      </c>
      <c r="D497" t="s">
        <v>49</v>
      </c>
      <c r="E497" s="4">
        <v>1199.25</v>
      </c>
      <c r="F497" s="4">
        <v>233.85</v>
      </c>
      <c r="G497" s="4">
        <v>1033.8399999999999</v>
      </c>
      <c r="H497" s="4">
        <v>10.34</v>
      </c>
      <c r="I497" s="4">
        <v>82.71</v>
      </c>
      <c r="J497" s="4">
        <v>95</v>
      </c>
      <c r="K497" s="4">
        <v>777.35</v>
      </c>
      <c r="L497">
        <f t="shared" si="14"/>
        <v>2025</v>
      </c>
      <c r="M497">
        <f t="shared" si="15"/>
        <v>3</v>
      </c>
    </row>
    <row r="498" spans="1:13" ht="15" customHeight="1" x14ac:dyDescent="0.2">
      <c r="A498" s="3">
        <v>45917</v>
      </c>
      <c r="B498" t="s">
        <v>440</v>
      </c>
      <c r="C498" t="s">
        <v>90</v>
      </c>
      <c r="D498" t="s">
        <v>49</v>
      </c>
      <c r="E498" s="4">
        <v>303</v>
      </c>
      <c r="F498" s="4">
        <v>43.94</v>
      </c>
      <c r="G498" s="4">
        <v>261.20999999999998</v>
      </c>
      <c r="H498" s="4">
        <v>2.61</v>
      </c>
      <c r="I498" s="4">
        <v>20.9</v>
      </c>
      <c r="J498" s="4">
        <v>52.4</v>
      </c>
      <c r="K498" s="4">
        <v>183.16</v>
      </c>
      <c r="L498">
        <f t="shared" si="14"/>
        <v>2025</v>
      </c>
      <c r="M498">
        <f t="shared" si="15"/>
        <v>3</v>
      </c>
    </row>
    <row r="499" spans="1:13" ht="15" customHeight="1" x14ac:dyDescent="0.2">
      <c r="A499" s="3">
        <v>45917</v>
      </c>
      <c r="B499" t="s">
        <v>551</v>
      </c>
      <c r="C499" t="s">
        <v>67</v>
      </c>
      <c r="D499" t="s">
        <v>40</v>
      </c>
      <c r="E499" s="4">
        <v>1110</v>
      </c>
      <c r="F499" s="4">
        <v>160.94999999999999</v>
      </c>
      <c r="G499" s="4">
        <v>956.9</v>
      </c>
      <c r="H499" s="4">
        <v>9.57</v>
      </c>
      <c r="I499" s="4">
        <v>76.55</v>
      </c>
      <c r="J499" s="4">
        <v>74.5</v>
      </c>
      <c r="K499" s="4">
        <v>788.43</v>
      </c>
      <c r="L499">
        <f t="shared" si="14"/>
        <v>2025</v>
      </c>
      <c r="M499">
        <f t="shared" si="15"/>
        <v>3</v>
      </c>
    </row>
    <row r="500" spans="1:13" ht="15" customHeight="1" x14ac:dyDescent="0.2">
      <c r="A500" s="3">
        <v>45917</v>
      </c>
      <c r="B500" t="s">
        <v>552</v>
      </c>
      <c r="C500" t="s">
        <v>67</v>
      </c>
      <c r="D500" t="s">
        <v>59</v>
      </c>
      <c r="E500" s="4">
        <v>1110</v>
      </c>
      <c r="F500" s="4">
        <v>160.94999999999999</v>
      </c>
      <c r="G500" s="4">
        <v>956.9</v>
      </c>
      <c r="H500" s="4">
        <v>9.57</v>
      </c>
      <c r="I500" s="4">
        <v>76.55</v>
      </c>
      <c r="J500" s="4">
        <v>74.5</v>
      </c>
      <c r="K500" s="4">
        <v>788.43</v>
      </c>
      <c r="L500">
        <f t="shared" si="14"/>
        <v>2025</v>
      </c>
      <c r="M500">
        <f t="shared" si="15"/>
        <v>3</v>
      </c>
    </row>
    <row r="501" spans="1:13" ht="15" customHeight="1" x14ac:dyDescent="0.2">
      <c r="A501" s="3">
        <v>45917</v>
      </c>
      <c r="B501" t="s">
        <v>553</v>
      </c>
      <c r="C501" t="s">
        <v>67</v>
      </c>
      <c r="D501" t="s">
        <v>554</v>
      </c>
      <c r="E501" s="4">
        <v>1110</v>
      </c>
      <c r="F501" s="4">
        <v>160.94999999999999</v>
      </c>
      <c r="G501" s="4">
        <v>956.9</v>
      </c>
      <c r="H501" s="4">
        <v>9.57</v>
      </c>
      <c r="I501" s="4">
        <v>76.55</v>
      </c>
      <c r="J501" s="4">
        <v>74.5</v>
      </c>
      <c r="K501" s="4">
        <v>788.43</v>
      </c>
      <c r="L501">
        <f t="shared" si="14"/>
        <v>2025</v>
      </c>
      <c r="M501">
        <f t="shared" si="15"/>
        <v>3</v>
      </c>
    </row>
    <row r="502" spans="1:13" ht="15" customHeight="1" x14ac:dyDescent="0.2">
      <c r="A502" s="3">
        <v>45917</v>
      </c>
      <c r="B502" t="s">
        <v>555</v>
      </c>
      <c r="C502" t="s">
        <v>31</v>
      </c>
      <c r="D502" t="s">
        <v>93</v>
      </c>
      <c r="E502" s="4">
        <v>1649</v>
      </c>
      <c r="F502" s="4">
        <v>239.11</v>
      </c>
      <c r="G502" s="4">
        <v>1421.55</v>
      </c>
      <c r="H502" s="4">
        <v>14.22</v>
      </c>
      <c r="I502" s="4">
        <v>113.72</v>
      </c>
      <c r="J502" s="4">
        <v>74.5</v>
      </c>
      <c r="K502" s="4">
        <v>1207.46</v>
      </c>
      <c r="L502">
        <f t="shared" si="14"/>
        <v>2025</v>
      </c>
      <c r="M502">
        <f t="shared" si="15"/>
        <v>3</v>
      </c>
    </row>
    <row r="503" spans="1:13" ht="15" customHeight="1" x14ac:dyDescent="0.2">
      <c r="A503" s="3">
        <v>45917</v>
      </c>
      <c r="B503" t="s">
        <v>556</v>
      </c>
      <c r="C503" t="s">
        <v>67</v>
      </c>
      <c r="D503" t="s">
        <v>93</v>
      </c>
      <c r="E503" s="4">
        <v>1110</v>
      </c>
      <c r="F503" s="4">
        <v>160.94999999999999</v>
      </c>
      <c r="G503" s="4">
        <v>956.9</v>
      </c>
      <c r="H503" s="4">
        <v>9.57</v>
      </c>
      <c r="I503" s="4">
        <v>76.55</v>
      </c>
      <c r="J503" s="4">
        <v>74.5</v>
      </c>
      <c r="K503" s="4">
        <v>788.43</v>
      </c>
      <c r="L503">
        <f t="shared" si="14"/>
        <v>2025</v>
      </c>
      <c r="M503">
        <f t="shared" si="15"/>
        <v>3</v>
      </c>
    </row>
    <row r="504" spans="1:13" ht="15" customHeight="1" x14ac:dyDescent="0.2">
      <c r="A504" s="3">
        <v>45917</v>
      </c>
      <c r="B504" t="s">
        <v>557</v>
      </c>
      <c r="C504" t="s">
        <v>67</v>
      </c>
      <c r="D504" t="s">
        <v>77</v>
      </c>
      <c r="E504" s="4">
        <v>1110</v>
      </c>
      <c r="F504" s="4">
        <v>160.94999999999999</v>
      </c>
      <c r="G504" s="4">
        <v>956.9</v>
      </c>
      <c r="H504" s="4">
        <v>9.57</v>
      </c>
      <c r="I504" s="4">
        <v>76.55</v>
      </c>
      <c r="J504" s="4">
        <v>74.5</v>
      </c>
      <c r="K504" s="4">
        <v>788.43</v>
      </c>
      <c r="L504">
        <f t="shared" si="14"/>
        <v>2025</v>
      </c>
      <c r="M504">
        <f t="shared" si="15"/>
        <v>3</v>
      </c>
    </row>
    <row r="505" spans="1:13" ht="15" customHeight="1" x14ac:dyDescent="0.2">
      <c r="A505" s="3">
        <v>45919</v>
      </c>
      <c r="B505" t="s">
        <v>558</v>
      </c>
      <c r="C505" t="s">
        <v>289</v>
      </c>
      <c r="D505" t="s">
        <v>119</v>
      </c>
      <c r="E505" s="4">
        <v>877.5</v>
      </c>
      <c r="F505" s="4">
        <v>171.11</v>
      </c>
      <c r="G505" s="4">
        <v>756.47</v>
      </c>
      <c r="H505" s="4">
        <v>7.56</v>
      </c>
      <c r="I505" s="4">
        <v>60.52</v>
      </c>
      <c r="J505" s="4">
        <v>103</v>
      </c>
      <c r="K505" s="4">
        <v>535.30999999999995</v>
      </c>
      <c r="L505">
        <f t="shared" si="14"/>
        <v>2025</v>
      </c>
      <c r="M505">
        <f t="shared" si="15"/>
        <v>3</v>
      </c>
    </row>
    <row r="506" spans="1:13" ht="15" customHeight="1" x14ac:dyDescent="0.2">
      <c r="A506" s="3">
        <v>45919</v>
      </c>
      <c r="B506" t="s">
        <v>559</v>
      </c>
      <c r="C506" t="s">
        <v>541</v>
      </c>
      <c r="D506" t="s">
        <v>93</v>
      </c>
      <c r="E506" s="4">
        <v>388.22</v>
      </c>
      <c r="F506" s="4">
        <v>75.7</v>
      </c>
      <c r="G506" s="4">
        <v>334.67</v>
      </c>
      <c r="H506" s="4">
        <v>3.35</v>
      </c>
      <c r="I506" s="4">
        <v>26.77</v>
      </c>
      <c r="J506" s="4">
        <v>67.599999999999994</v>
      </c>
      <c r="K506" s="4">
        <v>214.8</v>
      </c>
      <c r="L506">
        <f t="shared" si="14"/>
        <v>2025</v>
      </c>
      <c r="M506">
        <f t="shared" si="15"/>
        <v>3</v>
      </c>
    </row>
    <row r="507" spans="1:13" ht="15" customHeight="1" x14ac:dyDescent="0.2">
      <c r="A507" s="3">
        <v>45919</v>
      </c>
      <c r="B507" t="s">
        <v>560</v>
      </c>
      <c r="C507" t="s">
        <v>90</v>
      </c>
      <c r="D507" t="s">
        <v>49</v>
      </c>
      <c r="E507" s="4">
        <v>303</v>
      </c>
      <c r="F507" s="4">
        <v>43.94</v>
      </c>
      <c r="G507" s="4">
        <v>261.20999999999998</v>
      </c>
      <c r="H507" s="4">
        <v>2.61</v>
      </c>
      <c r="I507" s="4">
        <v>20.9</v>
      </c>
      <c r="J507" s="4">
        <v>52.4</v>
      </c>
      <c r="K507" s="4">
        <v>183.16</v>
      </c>
      <c r="L507">
        <f t="shared" si="14"/>
        <v>2025</v>
      </c>
      <c r="M507">
        <f t="shared" si="15"/>
        <v>3</v>
      </c>
    </row>
    <row r="508" spans="1:13" ht="15" customHeight="1" x14ac:dyDescent="0.2">
      <c r="A508" s="3">
        <v>45919</v>
      </c>
      <c r="B508" t="s">
        <v>561</v>
      </c>
      <c r="C508" t="s">
        <v>562</v>
      </c>
      <c r="D508" t="s">
        <v>49</v>
      </c>
      <c r="E508" s="4">
        <v>1058.8499999999999</v>
      </c>
      <c r="F508" s="4">
        <v>206.48</v>
      </c>
      <c r="G508" s="4">
        <v>912.8</v>
      </c>
      <c r="H508" s="4">
        <v>9.1300000000000008</v>
      </c>
      <c r="I508" s="4">
        <v>73.02</v>
      </c>
      <c r="J508" s="4">
        <v>103</v>
      </c>
      <c r="K508" s="4">
        <v>667.22</v>
      </c>
      <c r="L508">
        <f t="shared" si="14"/>
        <v>2025</v>
      </c>
      <c r="M508">
        <f t="shared" si="15"/>
        <v>3</v>
      </c>
    </row>
    <row r="509" spans="1:13" ht="15" customHeight="1" x14ac:dyDescent="0.2">
      <c r="A509" s="3">
        <v>45919</v>
      </c>
      <c r="B509" t="s">
        <v>563</v>
      </c>
      <c r="C509" t="s">
        <v>541</v>
      </c>
      <c r="D509" t="s">
        <v>93</v>
      </c>
      <c r="E509" s="4">
        <v>388.22</v>
      </c>
      <c r="F509" s="4">
        <v>75.7</v>
      </c>
      <c r="G509" s="4">
        <v>334.67</v>
      </c>
      <c r="H509" s="4">
        <v>3.35</v>
      </c>
      <c r="I509" s="4">
        <v>26.77</v>
      </c>
      <c r="J509" s="4">
        <v>67.599999999999994</v>
      </c>
      <c r="K509" s="4">
        <v>214.8</v>
      </c>
      <c r="L509">
        <f t="shared" si="14"/>
        <v>2025</v>
      </c>
      <c r="M509">
        <f t="shared" si="15"/>
        <v>3</v>
      </c>
    </row>
    <row r="510" spans="1:13" ht="15" customHeight="1" x14ac:dyDescent="0.2">
      <c r="A510" s="3">
        <v>45922</v>
      </c>
      <c r="B510" t="s">
        <v>564</v>
      </c>
      <c r="C510" t="s">
        <v>90</v>
      </c>
      <c r="D510" t="s">
        <v>38</v>
      </c>
      <c r="E510" s="4">
        <v>303</v>
      </c>
      <c r="F510" s="4">
        <v>43.94</v>
      </c>
      <c r="G510" s="4">
        <v>261.20999999999998</v>
      </c>
      <c r="H510" s="4">
        <v>2.61</v>
      </c>
      <c r="I510" s="4">
        <v>20.9</v>
      </c>
      <c r="J510" s="4">
        <v>52.4</v>
      </c>
      <c r="K510" s="4">
        <v>183.16</v>
      </c>
      <c r="L510">
        <f t="shared" si="14"/>
        <v>2025</v>
      </c>
      <c r="M510">
        <f t="shared" si="15"/>
        <v>3</v>
      </c>
    </row>
    <row r="511" spans="1:13" ht="15" customHeight="1" x14ac:dyDescent="0.2">
      <c r="A511" s="3">
        <v>45922</v>
      </c>
      <c r="B511" t="s">
        <v>565</v>
      </c>
      <c r="C511" t="s">
        <v>90</v>
      </c>
      <c r="D511" t="s">
        <v>33</v>
      </c>
      <c r="E511" s="4">
        <v>303</v>
      </c>
      <c r="F511" s="4">
        <v>43.94</v>
      </c>
      <c r="G511" s="4">
        <v>261.20999999999998</v>
      </c>
      <c r="H511" s="4">
        <v>2.61</v>
      </c>
      <c r="I511" s="4">
        <v>20.9</v>
      </c>
      <c r="J511" s="4">
        <v>52.4</v>
      </c>
      <c r="K511" s="4">
        <v>183.16</v>
      </c>
      <c r="L511">
        <f t="shared" si="14"/>
        <v>2025</v>
      </c>
      <c r="M511">
        <f t="shared" si="15"/>
        <v>3</v>
      </c>
    </row>
    <row r="512" spans="1:13" ht="15" customHeight="1" x14ac:dyDescent="0.2">
      <c r="A512" s="3">
        <v>45922</v>
      </c>
      <c r="B512" t="s">
        <v>565</v>
      </c>
      <c r="C512" t="s">
        <v>90</v>
      </c>
      <c r="D512" t="s">
        <v>33</v>
      </c>
      <c r="E512" s="4">
        <v>303</v>
      </c>
      <c r="F512" s="4">
        <v>43.94</v>
      </c>
      <c r="G512" s="4">
        <v>261.20999999999998</v>
      </c>
      <c r="H512" s="4">
        <v>2.61</v>
      </c>
      <c r="I512" s="4">
        <v>20.9</v>
      </c>
      <c r="J512" s="4">
        <v>52.4</v>
      </c>
      <c r="K512" s="4">
        <v>183.16</v>
      </c>
      <c r="L512">
        <f t="shared" si="14"/>
        <v>2025</v>
      </c>
      <c r="M512">
        <f t="shared" si="15"/>
        <v>3</v>
      </c>
    </row>
    <row r="513" spans="1:13" ht="15" customHeight="1" x14ac:dyDescent="0.2">
      <c r="A513" s="3">
        <v>45922</v>
      </c>
      <c r="B513" t="s">
        <v>566</v>
      </c>
      <c r="C513" t="s">
        <v>567</v>
      </c>
      <c r="D513" t="s">
        <v>49</v>
      </c>
      <c r="E513" s="4">
        <v>699.3</v>
      </c>
      <c r="F513" s="4">
        <v>136.36000000000001</v>
      </c>
      <c r="G513" s="4">
        <v>602.84</v>
      </c>
      <c r="H513" s="4">
        <v>6.03</v>
      </c>
      <c r="I513" s="4">
        <v>48.23</v>
      </c>
      <c r="J513" s="4">
        <v>103</v>
      </c>
      <c r="K513" s="4">
        <v>405.68</v>
      </c>
      <c r="L513">
        <f t="shared" si="14"/>
        <v>2025</v>
      </c>
      <c r="M513">
        <f t="shared" si="15"/>
        <v>3</v>
      </c>
    </row>
    <row r="514" spans="1:13" ht="15" customHeight="1" x14ac:dyDescent="0.2">
      <c r="A514" s="3">
        <v>45925</v>
      </c>
      <c r="B514" t="s">
        <v>568</v>
      </c>
      <c r="C514" t="s">
        <v>90</v>
      </c>
      <c r="D514" t="s">
        <v>38</v>
      </c>
      <c r="E514" s="4">
        <v>303</v>
      </c>
      <c r="F514" s="4">
        <v>43.94</v>
      </c>
      <c r="G514" s="4">
        <v>261.20999999999998</v>
      </c>
      <c r="H514" s="4">
        <v>2.61</v>
      </c>
      <c r="I514" s="4">
        <v>20.9</v>
      </c>
      <c r="J514" s="4">
        <v>52.4</v>
      </c>
      <c r="K514" s="4">
        <v>183.16</v>
      </c>
      <c r="L514">
        <f t="shared" ref="L514:L577" si="16">YEAR(A514)</f>
        <v>2025</v>
      </c>
      <c r="M514">
        <f t="shared" ref="M514:M577" si="17">ROUNDUP(MONTH(A514)/3,0)</f>
        <v>3</v>
      </c>
    </row>
    <row r="515" spans="1:13" ht="15" customHeight="1" x14ac:dyDescent="0.2">
      <c r="A515" s="3">
        <v>45927</v>
      </c>
      <c r="B515" t="s">
        <v>569</v>
      </c>
      <c r="C515" t="s">
        <v>52</v>
      </c>
      <c r="D515" t="s">
        <v>119</v>
      </c>
      <c r="E515" s="4">
        <v>318.01</v>
      </c>
      <c r="F515" s="4">
        <v>62.01</v>
      </c>
      <c r="G515" s="4">
        <v>274.14999999999998</v>
      </c>
      <c r="H515" s="4">
        <v>2.74</v>
      </c>
      <c r="I515" s="4">
        <v>21.93</v>
      </c>
      <c r="J515" s="4">
        <v>67.599999999999994</v>
      </c>
      <c r="K515" s="4">
        <v>163.72</v>
      </c>
      <c r="L515">
        <f t="shared" si="16"/>
        <v>2025</v>
      </c>
      <c r="M515">
        <f t="shared" si="17"/>
        <v>3</v>
      </c>
    </row>
    <row r="516" spans="1:13" ht="15" customHeight="1" x14ac:dyDescent="0.2">
      <c r="A516" s="3">
        <v>45930</v>
      </c>
      <c r="B516" t="s">
        <v>570</v>
      </c>
      <c r="C516" t="s">
        <v>366</v>
      </c>
      <c r="D516" t="s">
        <v>77</v>
      </c>
      <c r="E516" s="4">
        <v>1073.4000000000001</v>
      </c>
      <c r="F516" s="4">
        <v>209.31</v>
      </c>
      <c r="G516" s="4">
        <v>925.34</v>
      </c>
      <c r="H516" s="4">
        <v>9.25</v>
      </c>
      <c r="I516" s="4">
        <v>74.03</v>
      </c>
      <c r="J516" s="4">
        <v>95</v>
      </c>
      <c r="K516" s="4">
        <v>685.81</v>
      </c>
      <c r="L516">
        <f t="shared" si="16"/>
        <v>2025</v>
      </c>
      <c r="M516">
        <f t="shared" si="17"/>
        <v>3</v>
      </c>
    </row>
    <row r="517" spans="1:13" ht="15" customHeight="1" x14ac:dyDescent="0.2">
      <c r="A517" s="3">
        <v>45930</v>
      </c>
      <c r="B517" t="s">
        <v>571</v>
      </c>
      <c r="C517" t="s">
        <v>515</v>
      </c>
      <c r="D517" t="s">
        <v>140</v>
      </c>
      <c r="E517" s="4">
        <v>388.22</v>
      </c>
      <c r="F517" s="4">
        <v>75.7</v>
      </c>
      <c r="G517" s="4">
        <v>334.67</v>
      </c>
      <c r="H517" s="4">
        <v>3.35</v>
      </c>
      <c r="I517" s="4">
        <v>26.77</v>
      </c>
      <c r="J517" s="4">
        <v>67.599999999999994</v>
      </c>
      <c r="K517" s="4">
        <v>214.8</v>
      </c>
      <c r="L517">
        <f t="shared" si="16"/>
        <v>2025</v>
      </c>
      <c r="M517">
        <f t="shared" si="17"/>
        <v>3</v>
      </c>
    </row>
    <row r="518" spans="1:13" ht="15" customHeight="1" x14ac:dyDescent="0.2">
      <c r="A518" s="3">
        <v>45931</v>
      </c>
      <c r="B518" t="s">
        <v>572</v>
      </c>
      <c r="C518" t="s">
        <v>90</v>
      </c>
      <c r="D518" t="s">
        <v>38</v>
      </c>
      <c r="E518" s="4">
        <v>303</v>
      </c>
      <c r="F518" s="4">
        <v>43.94</v>
      </c>
      <c r="G518" s="4">
        <v>261.20999999999998</v>
      </c>
      <c r="H518" s="4">
        <v>2.61</v>
      </c>
      <c r="I518" s="4">
        <v>20.9</v>
      </c>
      <c r="J518" s="4">
        <v>52.4</v>
      </c>
      <c r="K518" s="4">
        <v>183.16</v>
      </c>
      <c r="L518">
        <f t="shared" si="16"/>
        <v>2025</v>
      </c>
      <c r="M518">
        <f t="shared" si="17"/>
        <v>4</v>
      </c>
    </row>
    <row r="519" spans="1:13" ht="15" customHeight="1" x14ac:dyDescent="0.2">
      <c r="A519" s="3">
        <v>45932</v>
      </c>
      <c r="B519" t="s">
        <v>573</v>
      </c>
      <c r="C519" t="s">
        <v>31</v>
      </c>
      <c r="D519" t="s">
        <v>85</v>
      </c>
      <c r="E519" s="4">
        <v>1454.03</v>
      </c>
      <c r="F519" s="4">
        <v>210.83</v>
      </c>
      <c r="G519" s="4">
        <v>1253.47</v>
      </c>
      <c r="H519" s="4">
        <v>12.53</v>
      </c>
      <c r="I519" s="4">
        <v>100.28</v>
      </c>
      <c r="J519" s="4">
        <v>74.5</v>
      </c>
      <c r="K519" s="4">
        <v>1055.8800000000001</v>
      </c>
      <c r="L519">
        <f t="shared" si="16"/>
        <v>2025</v>
      </c>
      <c r="M519">
        <f t="shared" si="17"/>
        <v>4</v>
      </c>
    </row>
    <row r="520" spans="1:13" ht="15" customHeight="1" x14ac:dyDescent="0.2">
      <c r="A520" s="3">
        <v>45932</v>
      </c>
      <c r="B520" t="s">
        <v>574</v>
      </c>
      <c r="C520" t="s">
        <v>115</v>
      </c>
      <c r="D520" t="s">
        <v>38</v>
      </c>
      <c r="E520" s="4">
        <v>1799.1</v>
      </c>
      <c r="F520" s="4">
        <v>260.87</v>
      </c>
      <c r="G520" s="4">
        <v>1550.95</v>
      </c>
      <c r="H520" s="4">
        <v>15.51</v>
      </c>
      <c r="I520" s="4">
        <v>124.08</v>
      </c>
      <c r="J520" s="4">
        <v>74.5</v>
      </c>
      <c r="K520" s="4">
        <v>1324.15</v>
      </c>
      <c r="L520">
        <f t="shared" si="16"/>
        <v>2025</v>
      </c>
      <c r="M520">
        <f t="shared" si="17"/>
        <v>4</v>
      </c>
    </row>
    <row r="521" spans="1:13" ht="15" customHeight="1" x14ac:dyDescent="0.2">
      <c r="A521" s="3">
        <v>45933</v>
      </c>
      <c r="B521" t="s">
        <v>575</v>
      </c>
      <c r="C521" t="s">
        <v>541</v>
      </c>
      <c r="D521" t="s">
        <v>175</v>
      </c>
      <c r="E521" s="4">
        <v>399</v>
      </c>
      <c r="F521" s="4">
        <v>77.81</v>
      </c>
      <c r="G521" s="4">
        <v>343.97</v>
      </c>
      <c r="H521" s="4">
        <v>3.44</v>
      </c>
      <c r="I521" s="4">
        <v>27.52</v>
      </c>
      <c r="J521" s="4">
        <v>67.599999999999994</v>
      </c>
      <c r="K521" s="4">
        <v>222.64</v>
      </c>
      <c r="L521">
        <f t="shared" si="16"/>
        <v>2025</v>
      </c>
      <c r="M521">
        <f t="shared" si="17"/>
        <v>4</v>
      </c>
    </row>
    <row r="522" spans="1:13" ht="15" customHeight="1" x14ac:dyDescent="0.2">
      <c r="A522" s="3">
        <v>45933</v>
      </c>
      <c r="B522" t="s">
        <v>576</v>
      </c>
      <c r="C522" t="s">
        <v>541</v>
      </c>
      <c r="D522" t="s">
        <v>93</v>
      </c>
      <c r="E522" s="4">
        <v>399</v>
      </c>
      <c r="F522" s="4">
        <v>77.81</v>
      </c>
      <c r="G522" s="4">
        <v>343.97</v>
      </c>
      <c r="H522" s="4">
        <v>3.44</v>
      </c>
      <c r="I522" s="4">
        <v>27.52</v>
      </c>
      <c r="J522" s="4">
        <v>67.599999999999994</v>
      </c>
      <c r="K522" s="4">
        <v>222.64</v>
      </c>
      <c r="L522">
        <f t="shared" si="16"/>
        <v>2025</v>
      </c>
      <c r="M522">
        <f t="shared" si="17"/>
        <v>4</v>
      </c>
    </row>
    <row r="523" spans="1:13" ht="15" customHeight="1" x14ac:dyDescent="0.2">
      <c r="A523" s="3">
        <v>45935</v>
      </c>
      <c r="B523" t="s">
        <v>577</v>
      </c>
      <c r="C523" t="s">
        <v>162</v>
      </c>
      <c r="D523" t="s">
        <v>164</v>
      </c>
      <c r="E523" s="4">
        <v>1099</v>
      </c>
      <c r="F523" s="4">
        <v>109.9</v>
      </c>
      <c r="G523" s="4">
        <v>947.41</v>
      </c>
      <c r="H523" s="4">
        <v>9.4700000000000006</v>
      </c>
      <c r="I523" s="4">
        <v>75.790000000000006</v>
      </c>
      <c r="J523" s="4">
        <v>84.5</v>
      </c>
      <c r="K523" s="4">
        <v>819.33</v>
      </c>
      <c r="L523">
        <f t="shared" si="16"/>
        <v>2025</v>
      </c>
      <c r="M523">
        <f t="shared" si="17"/>
        <v>4</v>
      </c>
    </row>
    <row r="524" spans="1:13" ht="15" customHeight="1" x14ac:dyDescent="0.2">
      <c r="A524" s="3">
        <v>45935</v>
      </c>
      <c r="B524" t="s">
        <v>578</v>
      </c>
      <c r="C524" t="s">
        <v>541</v>
      </c>
      <c r="D524" t="s">
        <v>24</v>
      </c>
      <c r="E524" s="4">
        <v>399</v>
      </c>
      <c r="F524" s="4">
        <v>77.81</v>
      </c>
      <c r="G524" s="4">
        <v>343.97</v>
      </c>
      <c r="H524" s="4">
        <v>3.44</v>
      </c>
      <c r="I524" s="4">
        <v>27.52</v>
      </c>
      <c r="J524" s="4">
        <v>67.599999999999994</v>
      </c>
      <c r="K524" s="4">
        <v>222.64</v>
      </c>
      <c r="L524">
        <f t="shared" si="16"/>
        <v>2025</v>
      </c>
      <c r="M524">
        <f t="shared" si="17"/>
        <v>4</v>
      </c>
    </row>
    <row r="525" spans="1:13" ht="15" customHeight="1" x14ac:dyDescent="0.2">
      <c r="A525" s="3">
        <v>45935</v>
      </c>
      <c r="B525" t="s">
        <v>579</v>
      </c>
      <c r="C525" t="s">
        <v>580</v>
      </c>
      <c r="D525" t="s">
        <v>164</v>
      </c>
      <c r="E525" s="4">
        <v>584.35</v>
      </c>
      <c r="F525" s="4">
        <v>113.95</v>
      </c>
      <c r="G525" s="4">
        <v>503.75</v>
      </c>
      <c r="H525" s="4">
        <v>5.04</v>
      </c>
      <c r="I525" s="4">
        <v>40.299999999999997</v>
      </c>
      <c r="J525" s="4">
        <v>103</v>
      </c>
      <c r="K525" s="4">
        <v>322.06</v>
      </c>
      <c r="L525">
        <f t="shared" si="16"/>
        <v>2025</v>
      </c>
      <c r="M525">
        <f t="shared" si="17"/>
        <v>4</v>
      </c>
    </row>
    <row r="526" spans="1:13" ht="15" customHeight="1" x14ac:dyDescent="0.2">
      <c r="A526" s="3">
        <v>45935</v>
      </c>
      <c r="B526" t="s">
        <v>581</v>
      </c>
      <c r="C526" t="s">
        <v>48</v>
      </c>
      <c r="D526" t="s">
        <v>49</v>
      </c>
      <c r="E526" s="4">
        <v>776.75</v>
      </c>
      <c r="F526" s="4">
        <v>151.47</v>
      </c>
      <c r="G526" s="4">
        <v>669.61</v>
      </c>
      <c r="H526" s="4">
        <v>6.7</v>
      </c>
      <c r="I526" s="4">
        <v>53.57</v>
      </c>
      <c r="J526" s="4">
        <v>103</v>
      </c>
      <c r="K526" s="4">
        <v>462.02</v>
      </c>
      <c r="L526">
        <f t="shared" si="16"/>
        <v>2025</v>
      </c>
      <c r="M526">
        <f t="shared" si="17"/>
        <v>4</v>
      </c>
    </row>
    <row r="527" spans="1:13" ht="15" customHeight="1" x14ac:dyDescent="0.2">
      <c r="A527" s="3">
        <v>45935</v>
      </c>
      <c r="B527" t="s">
        <v>582</v>
      </c>
      <c r="C527" t="s">
        <v>541</v>
      </c>
      <c r="D527" t="s">
        <v>59</v>
      </c>
      <c r="E527" s="4">
        <v>399</v>
      </c>
      <c r="F527" s="4">
        <v>77.81</v>
      </c>
      <c r="G527" s="4">
        <v>343.97</v>
      </c>
      <c r="H527" s="4">
        <v>3.44</v>
      </c>
      <c r="I527" s="4">
        <v>27.52</v>
      </c>
      <c r="J527" s="4">
        <v>67.599999999999994</v>
      </c>
      <c r="K527" s="4">
        <v>222.64</v>
      </c>
      <c r="L527">
        <f t="shared" si="16"/>
        <v>2025</v>
      </c>
      <c r="M527">
        <f t="shared" si="17"/>
        <v>4</v>
      </c>
    </row>
    <row r="528" spans="1:13" ht="15" customHeight="1" x14ac:dyDescent="0.2">
      <c r="A528" s="3">
        <v>45939</v>
      </c>
      <c r="B528" t="s">
        <v>583</v>
      </c>
      <c r="C528" t="s">
        <v>92</v>
      </c>
      <c r="D528" t="s">
        <v>316</v>
      </c>
      <c r="E528" s="4">
        <v>299.7</v>
      </c>
      <c r="F528" s="4">
        <v>58.44</v>
      </c>
      <c r="G528" s="4">
        <v>258.36</v>
      </c>
      <c r="H528" s="4">
        <v>2.58</v>
      </c>
      <c r="I528" s="4">
        <v>20.67</v>
      </c>
      <c r="J528" s="4">
        <v>82.4</v>
      </c>
      <c r="K528" s="4">
        <v>135.61000000000001</v>
      </c>
      <c r="L528">
        <f t="shared" si="16"/>
        <v>2025</v>
      </c>
      <c r="M528">
        <f t="shared" si="17"/>
        <v>4</v>
      </c>
    </row>
    <row r="529" spans="1:13" ht="15" customHeight="1" x14ac:dyDescent="0.2">
      <c r="A529" s="3">
        <v>45940</v>
      </c>
      <c r="B529" t="s">
        <v>584</v>
      </c>
      <c r="C529" t="s">
        <v>90</v>
      </c>
      <c r="D529" t="s">
        <v>38</v>
      </c>
      <c r="E529" s="4">
        <v>339</v>
      </c>
      <c r="F529" s="4">
        <v>49.16</v>
      </c>
      <c r="G529" s="4">
        <v>292.24</v>
      </c>
      <c r="H529" s="4">
        <v>2.92</v>
      </c>
      <c r="I529" s="4">
        <v>23.38</v>
      </c>
      <c r="J529" s="4">
        <v>52.4</v>
      </c>
      <c r="K529" s="4">
        <v>211.14</v>
      </c>
      <c r="L529">
        <f t="shared" si="16"/>
        <v>2025</v>
      </c>
      <c r="M529">
        <f t="shared" si="17"/>
        <v>4</v>
      </c>
    </row>
    <row r="530" spans="1:13" ht="15" customHeight="1" x14ac:dyDescent="0.2">
      <c r="A530" s="3">
        <v>45941</v>
      </c>
      <c r="B530" t="s">
        <v>585</v>
      </c>
      <c r="C530" t="s">
        <v>515</v>
      </c>
      <c r="D530" t="s">
        <v>85</v>
      </c>
      <c r="E530" s="4">
        <v>798</v>
      </c>
      <c r="F530" s="4">
        <v>155.61000000000001</v>
      </c>
      <c r="G530" s="4">
        <v>687.93</v>
      </c>
      <c r="H530" s="4">
        <v>6.88</v>
      </c>
      <c r="I530" s="4">
        <v>55.03</v>
      </c>
      <c r="J530" s="4">
        <v>135.19999999999999</v>
      </c>
      <c r="K530" s="4">
        <v>445.28</v>
      </c>
      <c r="L530">
        <f t="shared" si="16"/>
        <v>2025</v>
      </c>
      <c r="M530">
        <f t="shared" si="17"/>
        <v>4</v>
      </c>
    </row>
    <row r="531" spans="1:13" ht="15" customHeight="1" x14ac:dyDescent="0.2">
      <c r="A531" s="3">
        <v>45943</v>
      </c>
      <c r="B531" t="s">
        <v>586</v>
      </c>
      <c r="C531" t="s">
        <v>187</v>
      </c>
      <c r="D531" t="s">
        <v>33</v>
      </c>
      <c r="E531" s="4">
        <v>319.83999999999997</v>
      </c>
      <c r="F531" s="4">
        <v>62.37</v>
      </c>
      <c r="G531" s="4">
        <v>275.72000000000003</v>
      </c>
      <c r="H531" s="4">
        <v>2.76</v>
      </c>
      <c r="I531" s="4">
        <v>22.06</v>
      </c>
      <c r="J531" s="4">
        <v>67.599999999999994</v>
      </c>
      <c r="K531" s="4">
        <v>165.06</v>
      </c>
      <c r="L531">
        <f t="shared" si="16"/>
        <v>2025</v>
      </c>
      <c r="M531">
        <f t="shared" si="17"/>
        <v>4</v>
      </c>
    </row>
    <row r="532" spans="1:13" ht="15" customHeight="1" x14ac:dyDescent="0.2">
      <c r="A532" s="3">
        <v>45945</v>
      </c>
      <c r="B532" t="s">
        <v>587</v>
      </c>
      <c r="C532" t="s">
        <v>67</v>
      </c>
      <c r="D532" t="s">
        <v>143</v>
      </c>
      <c r="E532" s="4">
        <v>1100</v>
      </c>
      <c r="F532" s="4">
        <v>110</v>
      </c>
      <c r="G532" s="4">
        <v>948.28</v>
      </c>
      <c r="H532" s="4">
        <v>9.48</v>
      </c>
      <c r="I532" s="4">
        <v>75.86</v>
      </c>
      <c r="J532" s="4">
        <v>74.5</v>
      </c>
      <c r="K532" s="4">
        <v>830.16</v>
      </c>
      <c r="L532">
        <f t="shared" si="16"/>
        <v>2025</v>
      </c>
      <c r="M532">
        <f t="shared" si="17"/>
        <v>4</v>
      </c>
    </row>
    <row r="533" spans="1:13" ht="15" customHeight="1" x14ac:dyDescent="0.2">
      <c r="A533" s="3">
        <v>45946</v>
      </c>
      <c r="B533" t="s">
        <v>588</v>
      </c>
      <c r="C533" t="s">
        <v>90</v>
      </c>
      <c r="D533" t="s">
        <v>189</v>
      </c>
      <c r="E533" s="4">
        <v>339</v>
      </c>
      <c r="F533" s="4">
        <v>49.16</v>
      </c>
      <c r="G533" s="4">
        <v>292.24</v>
      </c>
      <c r="H533" s="4">
        <v>2.92</v>
      </c>
      <c r="I533" s="4">
        <v>23.38</v>
      </c>
      <c r="J533" s="4">
        <v>52.4</v>
      </c>
      <c r="K533" s="4">
        <v>211.14</v>
      </c>
      <c r="L533">
        <f t="shared" si="16"/>
        <v>2025</v>
      </c>
      <c r="M533">
        <f t="shared" si="17"/>
        <v>4</v>
      </c>
    </row>
    <row r="534" spans="1:13" ht="15" customHeight="1" x14ac:dyDescent="0.2">
      <c r="A534" s="3">
        <v>45947</v>
      </c>
      <c r="B534" t="s">
        <v>589</v>
      </c>
      <c r="C534" t="s">
        <v>76</v>
      </c>
      <c r="D534" t="s">
        <v>85</v>
      </c>
      <c r="E534" s="4">
        <v>1399</v>
      </c>
      <c r="F534" s="4">
        <v>139.9</v>
      </c>
      <c r="G534" s="4">
        <v>1206.03</v>
      </c>
      <c r="H534" s="4">
        <v>12.06</v>
      </c>
      <c r="I534" s="4">
        <v>96.48</v>
      </c>
      <c r="J534" s="4">
        <v>74.5</v>
      </c>
      <c r="K534" s="4">
        <v>1076.06</v>
      </c>
      <c r="L534">
        <f t="shared" si="16"/>
        <v>2025</v>
      </c>
      <c r="M534">
        <f t="shared" si="17"/>
        <v>4</v>
      </c>
    </row>
    <row r="535" spans="1:13" ht="15" customHeight="1" x14ac:dyDescent="0.2">
      <c r="A535" s="3">
        <v>45947</v>
      </c>
      <c r="B535" t="s">
        <v>590</v>
      </c>
      <c r="C535" t="s">
        <v>76</v>
      </c>
      <c r="D535" t="s">
        <v>77</v>
      </c>
      <c r="E535" s="4">
        <v>1399</v>
      </c>
      <c r="F535" s="4">
        <v>139.9</v>
      </c>
      <c r="G535" s="4">
        <v>1206.03</v>
      </c>
      <c r="H535" s="4">
        <v>12.06</v>
      </c>
      <c r="I535" s="4">
        <v>96.48</v>
      </c>
      <c r="J535" s="4">
        <v>74.5</v>
      </c>
      <c r="K535" s="4">
        <v>1076.06</v>
      </c>
      <c r="L535">
        <f t="shared" si="16"/>
        <v>2025</v>
      </c>
      <c r="M535">
        <f t="shared" si="17"/>
        <v>4</v>
      </c>
    </row>
    <row r="536" spans="1:13" ht="15" customHeight="1" x14ac:dyDescent="0.2">
      <c r="A536" s="3">
        <v>45948</v>
      </c>
      <c r="B536" t="s">
        <v>591</v>
      </c>
      <c r="C536" t="s">
        <v>562</v>
      </c>
      <c r="D536" t="s">
        <v>49</v>
      </c>
      <c r="E536" s="4">
        <v>977.4</v>
      </c>
      <c r="F536" s="4">
        <v>190.59</v>
      </c>
      <c r="G536" s="4">
        <v>842.59</v>
      </c>
      <c r="H536" s="4">
        <v>8.43</v>
      </c>
      <c r="I536" s="4">
        <v>67.41</v>
      </c>
      <c r="J536" s="4">
        <v>103</v>
      </c>
      <c r="K536" s="4">
        <v>607.97</v>
      </c>
      <c r="L536">
        <f t="shared" si="16"/>
        <v>2025</v>
      </c>
      <c r="M536">
        <f t="shared" si="17"/>
        <v>4</v>
      </c>
    </row>
    <row r="537" spans="1:13" ht="15" customHeight="1" x14ac:dyDescent="0.2">
      <c r="A537" s="3">
        <v>45948</v>
      </c>
      <c r="B537" t="s">
        <v>592</v>
      </c>
      <c r="C537" t="s">
        <v>541</v>
      </c>
      <c r="D537" t="s">
        <v>164</v>
      </c>
      <c r="E537" s="4">
        <v>399</v>
      </c>
      <c r="F537" s="4">
        <v>77.81</v>
      </c>
      <c r="G537" s="4">
        <v>343.97</v>
      </c>
      <c r="H537" s="4">
        <v>3.44</v>
      </c>
      <c r="I537" s="4">
        <v>27.52</v>
      </c>
      <c r="J537" s="4">
        <v>67.599999999999994</v>
      </c>
      <c r="K537" s="4">
        <v>222.64</v>
      </c>
      <c r="L537">
        <f t="shared" si="16"/>
        <v>2025</v>
      </c>
      <c r="M537">
        <f t="shared" si="17"/>
        <v>4</v>
      </c>
    </row>
    <row r="538" spans="1:13" ht="15" customHeight="1" x14ac:dyDescent="0.2">
      <c r="A538" s="3">
        <v>45948</v>
      </c>
      <c r="B538" t="s">
        <v>592</v>
      </c>
      <c r="C538" t="s">
        <v>541</v>
      </c>
      <c r="D538" t="s">
        <v>164</v>
      </c>
      <c r="E538" s="4">
        <v>399</v>
      </c>
      <c r="F538" s="4">
        <v>77.81</v>
      </c>
      <c r="G538" s="4">
        <v>343.97</v>
      </c>
      <c r="H538" s="4">
        <v>3.44</v>
      </c>
      <c r="I538" s="4">
        <v>27.52</v>
      </c>
      <c r="J538" s="4">
        <v>67.599999999999994</v>
      </c>
      <c r="K538" s="4">
        <v>222.64</v>
      </c>
      <c r="L538">
        <f t="shared" si="16"/>
        <v>2025</v>
      </c>
      <c r="M538">
        <f t="shared" si="17"/>
        <v>4</v>
      </c>
    </row>
    <row r="539" spans="1:13" ht="15" customHeight="1" x14ac:dyDescent="0.2">
      <c r="A539" s="3">
        <v>45951</v>
      </c>
      <c r="B539" t="s">
        <v>593</v>
      </c>
      <c r="C539" t="s">
        <v>567</v>
      </c>
      <c r="D539" t="s">
        <v>215</v>
      </c>
      <c r="E539" s="4">
        <v>649.35</v>
      </c>
      <c r="F539" s="4">
        <v>126.62</v>
      </c>
      <c r="G539" s="4">
        <v>559.78</v>
      </c>
      <c r="H539" s="4">
        <v>5.6</v>
      </c>
      <c r="I539" s="4">
        <v>44.78</v>
      </c>
      <c r="J539" s="4">
        <v>103</v>
      </c>
      <c r="K539" s="4">
        <v>369.35</v>
      </c>
      <c r="L539">
        <f t="shared" si="16"/>
        <v>2025</v>
      </c>
      <c r="M539">
        <f t="shared" si="17"/>
        <v>4</v>
      </c>
    </row>
    <row r="540" spans="1:13" ht="15" customHeight="1" x14ac:dyDescent="0.2">
      <c r="A540" s="3">
        <v>45953</v>
      </c>
      <c r="B540" t="s">
        <v>594</v>
      </c>
      <c r="C540" t="s">
        <v>187</v>
      </c>
      <c r="D540" t="s">
        <v>119</v>
      </c>
      <c r="E540" s="4">
        <v>319.83999999999997</v>
      </c>
      <c r="F540" s="4">
        <v>62.37</v>
      </c>
      <c r="G540" s="4">
        <v>275.72000000000003</v>
      </c>
      <c r="H540" s="4">
        <v>2.76</v>
      </c>
      <c r="I540" s="4">
        <v>22.06</v>
      </c>
      <c r="J540" s="4">
        <v>67.599999999999994</v>
      </c>
      <c r="K540" s="4">
        <v>165.06</v>
      </c>
      <c r="L540">
        <f t="shared" si="16"/>
        <v>2025</v>
      </c>
      <c r="M540">
        <f t="shared" si="17"/>
        <v>4</v>
      </c>
    </row>
    <row r="541" spans="1:13" ht="15" customHeight="1" x14ac:dyDescent="0.2">
      <c r="A541" s="3">
        <v>45953</v>
      </c>
      <c r="B541" t="s">
        <v>595</v>
      </c>
      <c r="C541" t="s">
        <v>76</v>
      </c>
      <c r="D541" t="s">
        <v>35</v>
      </c>
      <c r="E541" s="4">
        <v>1399</v>
      </c>
      <c r="F541" s="4">
        <v>139.9</v>
      </c>
      <c r="G541" s="4">
        <v>1206.03</v>
      </c>
      <c r="H541" s="4">
        <v>12.06</v>
      </c>
      <c r="I541" s="4">
        <v>96.48</v>
      </c>
      <c r="J541" s="4">
        <v>74.5</v>
      </c>
      <c r="K541" s="4">
        <v>1076.06</v>
      </c>
      <c r="L541">
        <f t="shared" si="16"/>
        <v>2025</v>
      </c>
      <c r="M541">
        <f t="shared" si="17"/>
        <v>4</v>
      </c>
    </row>
    <row r="542" spans="1:13" ht="15" customHeight="1" x14ac:dyDescent="0.2">
      <c r="A542" s="3">
        <v>45953</v>
      </c>
      <c r="B542" t="s">
        <v>596</v>
      </c>
      <c r="C542" t="s">
        <v>31</v>
      </c>
      <c r="D542" t="s">
        <v>93</v>
      </c>
      <c r="E542" s="4">
        <v>1243</v>
      </c>
      <c r="F542" s="4">
        <v>124.3</v>
      </c>
      <c r="G542" s="4">
        <v>1071.55</v>
      </c>
      <c r="H542" s="4">
        <v>10.72</v>
      </c>
      <c r="I542" s="4">
        <v>85.72</v>
      </c>
      <c r="J542" s="4">
        <v>74.5</v>
      </c>
      <c r="K542" s="4">
        <v>947.76</v>
      </c>
      <c r="L542">
        <f t="shared" si="16"/>
        <v>2025</v>
      </c>
      <c r="M542">
        <f t="shared" si="17"/>
        <v>4</v>
      </c>
    </row>
    <row r="543" spans="1:13" ht="15" customHeight="1" x14ac:dyDescent="0.2">
      <c r="A543" s="3">
        <v>45953</v>
      </c>
      <c r="B543" t="s">
        <v>597</v>
      </c>
      <c r="C543" t="s">
        <v>598</v>
      </c>
      <c r="D543" t="s">
        <v>215</v>
      </c>
      <c r="E543" s="4">
        <v>477.95</v>
      </c>
      <c r="F543" s="4">
        <v>93.2</v>
      </c>
      <c r="G543" s="4">
        <v>412.03</v>
      </c>
      <c r="H543" s="4">
        <v>4.12</v>
      </c>
      <c r="I543" s="4">
        <v>32.96</v>
      </c>
      <c r="J543" s="4">
        <v>95</v>
      </c>
      <c r="K543" s="4">
        <v>252.67</v>
      </c>
      <c r="L543">
        <f t="shared" si="16"/>
        <v>2025</v>
      </c>
      <c r="M543">
        <f t="shared" si="17"/>
        <v>4</v>
      </c>
    </row>
    <row r="544" spans="1:13" ht="15" customHeight="1" x14ac:dyDescent="0.2">
      <c r="A544" s="3">
        <v>45953</v>
      </c>
      <c r="B544" t="s">
        <v>599</v>
      </c>
      <c r="C544" t="s">
        <v>473</v>
      </c>
      <c r="D544" t="s">
        <v>119</v>
      </c>
      <c r="E544" s="4">
        <v>1799</v>
      </c>
      <c r="F544" s="4">
        <v>260.86</v>
      </c>
      <c r="G544" s="4">
        <v>1550.86</v>
      </c>
      <c r="H544" s="4">
        <v>15.51</v>
      </c>
      <c r="I544" s="4">
        <v>124.07</v>
      </c>
      <c r="J544" s="4">
        <v>84.5</v>
      </c>
      <c r="K544" s="4">
        <v>1314.07</v>
      </c>
      <c r="L544">
        <f t="shared" si="16"/>
        <v>2025</v>
      </c>
      <c r="M544">
        <f t="shared" si="17"/>
        <v>4</v>
      </c>
    </row>
    <row r="545" spans="1:13" ht="15" customHeight="1" x14ac:dyDescent="0.2">
      <c r="A545" s="3">
        <v>45957</v>
      </c>
      <c r="B545" t="s">
        <v>600</v>
      </c>
      <c r="C545" t="s">
        <v>31</v>
      </c>
      <c r="D545" t="s">
        <v>49</v>
      </c>
      <c r="E545" s="4">
        <v>1243</v>
      </c>
      <c r="F545" s="4">
        <v>124.3</v>
      </c>
      <c r="G545" s="4">
        <v>1071.55</v>
      </c>
      <c r="H545" s="4">
        <v>10.72</v>
      </c>
      <c r="I545" s="4">
        <v>85.72</v>
      </c>
      <c r="J545" s="4">
        <v>74.5</v>
      </c>
      <c r="K545" s="4">
        <v>947.76</v>
      </c>
      <c r="L545">
        <f t="shared" si="16"/>
        <v>2025</v>
      </c>
      <c r="M545">
        <f t="shared" si="17"/>
        <v>4</v>
      </c>
    </row>
    <row r="546" spans="1:13" ht="15" customHeight="1" x14ac:dyDescent="0.2">
      <c r="A546" s="3">
        <v>45957</v>
      </c>
      <c r="B546" t="s">
        <v>601</v>
      </c>
      <c r="C546" t="s">
        <v>31</v>
      </c>
      <c r="D546" t="s">
        <v>38</v>
      </c>
      <c r="E546" s="4">
        <v>1243</v>
      </c>
      <c r="F546" s="4">
        <v>124.3</v>
      </c>
      <c r="G546" s="4">
        <v>1071.55</v>
      </c>
      <c r="H546" s="4">
        <v>10.72</v>
      </c>
      <c r="I546" s="4">
        <v>85.72</v>
      </c>
      <c r="J546" s="4">
        <v>74.5</v>
      </c>
      <c r="K546" s="4">
        <v>947.76</v>
      </c>
      <c r="L546">
        <f t="shared" si="16"/>
        <v>2025</v>
      </c>
      <c r="M546">
        <f t="shared" si="17"/>
        <v>4</v>
      </c>
    </row>
    <row r="547" spans="1:13" ht="15" customHeight="1" x14ac:dyDescent="0.2">
      <c r="A547" s="3">
        <v>45957</v>
      </c>
      <c r="B547" t="s">
        <v>602</v>
      </c>
      <c r="C547" t="s">
        <v>76</v>
      </c>
      <c r="D547" t="s">
        <v>38</v>
      </c>
      <c r="E547" s="4">
        <v>1399</v>
      </c>
      <c r="F547" s="4">
        <v>139.9</v>
      </c>
      <c r="G547" s="4">
        <v>1206.03</v>
      </c>
      <c r="H547" s="4">
        <v>12.06</v>
      </c>
      <c r="I547" s="4">
        <v>96.48</v>
      </c>
      <c r="J547" s="4">
        <v>74.5</v>
      </c>
      <c r="K547" s="4">
        <v>1076.06</v>
      </c>
      <c r="L547">
        <f t="shared" si="16"/>
        <v>2025</v>
      </c>
      <c r="M547">
        <f t="shared" si="17"/>
        <v>4</v>
      </c>
    </row>
    <row r="548" spans="1:13" ht="15" customHeight="1" x14ac:dyDescent="0.2">
      <c r="A548" s="3">
        <v>45958</v>
      </c>
      <c r="B548" t="s">
        <v>603</v>
      </c>
      <c r="C548" t="s">
        <v>90</v>
      </c>
      <c r="D548" t="s">
        <v>316</v>
      </c>
      <c r="E548" s="4">
        <v>339</v>
      </c>
      <c r="F548" s="4">
        <v>49.16</v>
      </c>
      <c r="G548" s="4">
        <v>292.24</v>
      </c>
      <c r="H548" s="4">
        <v>2.92</v>
      </c>
      <c r="I548" s="4">
        <v>23.38</v>
      </c>
      <c r="J548" s="4">
        <v>52.4</v>
      </c>
      <c r="K548" s="4">
        <v>211.14</v>
      </c>
      <c r="L548">
        <f t="shared" si="16"/>
        <v>2025</v>
      </c>
      <c r="M548">
        <f t="shared" si="17"/>
        <v>4</v>
      </c>
    </row>
    <row r="549" spans="1:13" ht="15" customHeight="1" x14ac:dyDescent="0.2">
      <c r="A549" s="3">
        <v>45959</v>
      </c>
      <c r="B549" t="s">
        <v>604</v>
      </c>
      <c r="C549" t="s">
        <v>76</v>
      </c>
      <c r="D549" t="s">
        <v>129</v>
      </c>
      <c r="E549" s="4">
        <v>1399</v>
      </c>
      <c r="F549" s="4">
        <v>139.9</v>
      </c>
      <c r="G549" s="4">
        <v>1206.03</v>
      </c>
      <c r="H549" s="4">
        <v>12.06</v>
      </c>
      <c r="I549" s="4">
        <v>96.48</v>
      </c>
      <c r="J549" s="4">
        <v>74.5</v>
      </c>
      <c r="K549" s="4">
        <v>1076.06</v>
      </c>
      <c r="L549">
        <f t="shared" si="16"/>
        <v>2025</v>
      </c>
      <c r="M549">
        <f t="shared" si="17"/>
        <v>4</v>
      </c>
    </row>
    <row r="550" spans="1:13" ht="15" customHeight="1" x14ac:dyDescent="0.2">
      <c r="A550" s="3">
        <v>45960</v>
      </c>
      <c r="B550" t="s">
        <v>605</v>
      </c>
      <c r="C550" t="s">
        <v>515</v>
      </c>
      <c r="D550" t="s">
        <v>77</v>
      </c>
      <c r="E550" s="4">
        <v>385.92</v>
      </c>
      <c r="F550" s="4">
        <v>75.25</v>
      </c>
      <c r="G550" s="4">
        <v>332.69</v>
      </c>
      <c r="H550" s="4">
        <v>3.33</v>
      </c>
      <c r="I550" s="4">
        <v>26.62</v>
      </c>
      <c r="J550" s="4">
        <v>67.599999999999994</v>
      </c>
      <c r="K550" s="4">
        <v>213.12</v>
      </c>
      <c r="L550">
        <f t="shared" si="16"/>
        <v>2025</v>
      </c>
      <c r="M550">
        <f t="shared" si="17"/>
        <v>4</v>
      </c>
    </row>
    <row r="551" spans="1:13" ht="15" customHeight="1" x14ac:dyDescent="0.2">
      <c r="A551" s="3">
        <v>45960</v>
      </c>
      <c r="B551" t="s">
        <v>606</v>
      </c>
      <c r="C551" t="s">
        <v>67</v>
      </c>
      <c r="D551" t="s">
        <v>93</v>
      </c>
      <c r="E551" s="4">
        <v>1399</v>
      </c>
      <c r="F551" s="4">
        <v>139.9</v>
      </c>
      <c r="G551" s="4">
        <v>1206.03</v>
      </c>
      <c r="H551" s="4">
        <v>12.06</v>
      </c>
      <c r="I551" s="4">
        <v>96.48</v>
      </c>
      <c r="J551" s="4">
        <v>74.5</v>
      </c>
      <c r="K551" s="4">
        <v>1076.06</v>
      </c>
      <c r="L551">
        <f t="shared" si="16"/>
        <v>2025</v>
      </c>
      <c r="M551">
        <f t="shared" si="17"/>
        <v>4</v>
      </c>
    </row>
    <row r="552" spans="1:13" ht="15" customHeight="1" x14ac:dyDescent="0.2">
      <c r="A552" s="3">
        <v>45960</v>
      </c>
      <c r="B552" t="s">
        <v>607</v>
      </c>
      <c r="C552" t="s">
        <v>31</v>
      </c>
      <c r="D552" t="s">
        <v>189</v>
      </c>
      <c r="E552" s="4">
        <v>1211</v>
      </c>
      <c r="F552" s="4">
        <v>121.1</v>
      </c>
      <c r="G552" s="4">
        <v>1043.97</v>
      </c>
      <c r="H552" s="4">
        <v>10.44</v>
      </c>
      <c r="I552" s="4">
        <v>83.52</v>
      </c>
      <c r="J552" s="4">
        <v>74.5</v>
      </c>
      <c r="K552" s="4">
        <v>921.44</v>
      </c>
      <c r="L552">
        <f t="shared" si="16"/>
        <v>2025</v>
      </c>
      <c r="M552">
        <f t="shared" si="17"/>
        <v>4</v>
      </c>
    </row>
    <row r="553" spans="1:13" ht="15" customHeight="1" x14ac:dyDescent="0.2">
      <c r="A553" s="3">
        <v>45962</v>
      </c>
      <c r="B553" t="s">
        <v>608</v>
      </c>
      <c r="C553" t="s">
        <v>515</v>
      </c>
      <c r="D553" t="s">
        <v>38</v>
      </c>
      <c r="E553" s="4">
        <v>399</v>
      </c>
      <c r="F553" s="4">
        <v>77.81</v>
      </c>
      <c r="G553" s="4">
        <v>343.97</v>
      </c>
      <c r="H553" s="4">
        <v>3.44</v>
      </c>
      <c r="I553" s="4">
        <v>27.52</v>
      </c>
      <c r="J553" s="4">
        <v>67.599999999999994</v>
      </c>
      <c r="K553" s="4">
        <v>222.64</v>
      </c>
      <c r="L553">
        <f t="shared" si="16"/>
        <v>2025</v>
      </c>
      <c r="M553">
        <f t="shared" si="17"/>
        <v>4</v>
      </c>
    </row>
    <row r="554" spans="1:13" ht="15" customHeight="1" x14ac:dyDescent="0.2">
      <c r="A554" s="3">
        <v>45963</v>
      </c>
      <c r="B554" t="s">
        <v>609</v>
      </c>
      <c r="C554" t="s">
        <v>515</v>
      </c>
      <c r="D554" t="s">
        <v>49</v>
      </c>
      <c r="E554" s="4">
        <v>385.92</v>
      </c>
      <c r="F554" s="4">
        <v>75.25</v>
      </c>
      <c r="G554" s="4">
        <v>332.69</v>
      </c>
      <c r="H554" s="4">
        <v>3.33</v>
      </c>
      <c r="I554" s="4">
        <v>26.62</v>
      </c>
      <c r="J554" s="4">
        <v>67.599999999999994</v>
      </c>
      <c r="K554" s="4">
        <v>213.12</v>
      </c>
      <c r="L554">
        <f t="shared" si="16"/>
        <v>2025</v>
      </c>
      <c r="M554">
        <f t="shared" si="17"/>
        <v>4</v>
      </c>
    </row>
    <row r="555" spans="1:13" ht="15" customHeight="1" x14ac:dyDescent="0.2">
      <c r="A555" s="3">
        <v>45963</v>
      </c>
      <c r="B555" t="s">
        <v>610</v>
      </c>
      <c r="C555" t="s">
        <v>515</v>
      </c>
      <c r="D555" t="s">
        <v>27</v>
      </c>
      <c r="E555" s="4">
        <v>385.92</v>
      </c>
      <c r="F555" s="4">
        <v>75.25</v>
      </c>
      <c r="G555" s="4">
        <v>332.69</v>
      </c>
      <c r="H555" s="4">
        <v>3.33</v>
      </c>
      <c r="I555" s="4">
        <v>26.62</v>
      </c>
      <c r="J555" s="4">
        <v>67.599999999999994</v>
      </c>
      <c r="K555" s="4">
        <v>213.12</v>
      </c>
      <c r="L555">
        <f t="shared" si="16"/>
        <v>2025</v>
      </c>
      <c r="M555">
        <f t="shared" si="17"/>
        <v>4</v>
      </c>
    </row>
    <row r="556" spans="1:13" ht="15" customHeight="1" x14ac:dyDescent="0.2">
      <c r="A556" s="3">
        <v>45964</v>
      </c>
      <c r="B556" t="s">
        <v>611</v>
      </c>
      <c r="C556" t="s">
        <v>90</v>
      </c>
      <c r="D556" t="s">
        <v>140</v>
      </c>
      <c r="E556" s="4">
        <v>339</v>
      </c>
      <c r="F556" s="4">
        <v>49.16</v>
      </c>
      <c r="G556" s="4">
        <v>292.24</v>
      </c>
      <c r="H556" s="4">
        <v>2.92</v>
      </c>
      <c r="I556" s="4">
        <v>23.38</v>
      </c>
      <c r="J556" s="4">
        <v>52.4</v>
      </c>
      <c r="K556" s="4">
        <v>211.14</v>
      </c>
      <c r="L556">
        <f t="shared" si="16"/>
        <v>2025</v>
      </c>
      <c r="M556">
        <f t="shared" si="17"/>
        <v>4</v>
      </c>
    </row>
    <row r="557" spans="1:13" ht="15" customHeight="1" x14ac:dyDescent="0.2">
      <c r="A557" s="3">
        <v>45964</v>
      </c>
      <c r="B557" t="s">
        <v>612</v>
      </c>
      <c r="C557" t="s">
        <v>90</v>
      </c>
      <c r="D557" t="s">
        <v>189</v>
      </c>
      <c r="E557" s="4">
        <v>339</v>
      </c>
      <c r="F557" s="4">
        <v>49.16</v>
      </c>
      <c r="G557" s="4">
        <v>292.24</v>
      </c>
      <c r="H557" s="4">
        <v>2.92</v>
      </c>
      <c r="I557" s="4">
        <v>23.38</v>
      </c>
      <c r="J557" s="4">
        <v>52.4</v>
      </c>
      <c r="K557" s="4">
        <v>211.14</v>
      </c>
      <c r="L557">
        <f t="shared" si="16"/>
        <v>2025</v>
      </c>
      <c r="M557">
        <f t="shared" si="17"/>
        <v>4</v>
      </c>
    </row>
    <row r="558" spans="1:13" ht="15" customHeight="1" x14ac:dyDescent="0.2">
      <c r="A558" s="3">
        <v>45965</v>
      </c>
      <c r="B558" t="s">
        <v>613</v>
      </c>
      <c r="C558" t="s">
        <v>541</v>
      </c>
      <c r="D558" t="s">
        <v>175</v>
      </c>
      <c r="E558" s="4">
        <v>385.92</v>
      </c>
      <c r="F558" s="4">
        <v>75.25</v>
      </c>
      <c r="G558" s="4">
        <v>332.69</v>
      </c>
      <c r="H558" s="4">
        <v>3.33</v>
      </c>
      <c r="I558" s="4">
        <v>26.62</v>
      </c>
      <c r="J558" s="4">
        <v>67.599999999999994</v>
      </c>
      <c r="K558" s="4">
        <v>213.12</v>
      </c>
      <c r="L558">
        <f t="shared" si="16"/>
        <v>2025</v>
      </c>
      <c r="M558">
        <f t="shared" si="17"/>
        <v>4</v>
      </c>
    </row>
    <row r="559" spans="1:13" ht="15" customHeight="1" x14ac:dyDescent="0.2">
      <c r="A559" s="3">
        <v>45966</v>
      </c>
      <c r="B559" t="s">
        <v>614</v>
      </c>
      <c r="C559" t="s">
        <v>253</v>
      </c>
      <c r="D559" t="s">
        <v>109</v>
      </c>
      <c r="E559" s="4">
        <v>319.56</v>
      </c>
      <c r="F559" s="4">
        <v>62.31</v>
      </c>
      <c r="G559" s="4">
        <v>275.48</v>
      </c>
      <c r="H559" s="4">
        <v>2.75</v>
      </c>
      <c r="I559" s="4">
        <v>22.04</v>
      </c>
      <c r="J559" s="4">
        <v>67.599999999999994</v>
      </c>
      <c r="K559" s="4">
        <v>164.85</v>
      </c>
      <c r="L559">
        <f t="shared" si="16"/>
        <v>2025</v>
      </c>
      <c r="M559">
        <f t="shared" si="17"/>
        <v>4</v>
      </c>
    </row>
    <row r="560" spans="1:13" ht="15" customHeight="1" x14ac:dyDescent="0.2">
      <c r="A560" s="3">
        <v>45967</v>
      </c>
      <c r="B560" t="s">
        <v>615</v>
      </c>
      <c r="C560" t="s">
        <v>289</v>
      </c>
      <c r="D560" t="s">
        <v>215</v>
      </c>
      <c r="E560" s="4">
        <v>877.5</v>
      </c>
      <c r="F560" s="4">
        <v>171.11</v>
      </c>
      <c r="G560" s="4">
        <v>756.47</v>
      </c>
      <c r="H560" s="4">
        <v>7.56</v>
      </c>
      <c r="I560" s="4">
        <v>60.52</v>
      </c>
      <c r="J560" s="4">
        <v>103</v>
      </c>
      <c r="K560" s="4">
        <v>535.30999999999995</v>
      </c>
      <c r="L560">
        <f t="shared" si="16"/>
        <v>2025</v>
      </c>
      <c r="M560">
        <f t="shared" si="17"/>
        <v>4</v>
      </c>
    </row>
    <row r="561" spans="1:13" ht="15" customHeight="1" x14ac:dyDescent="0.2">
      <c r="A561" s="3">
        <v>45968</v>
      </c>
      <c r="B561" t="s">
        <v>616</v>
      </c>
      <c r="C561" t="s">
        <v>31</v>
      </c>
      <c r="D561" t="s">
        <v>40</v>
      </c>
      <c r="E561" s="4">
        <v>1250</v>
      </c>
      <c r="F561" s="4">
        <v>181.25</v>
      </c>
      <c r="G561" s="4">
        <v>1077.5899999999999</v>
      </c>
      <c r="H561" s="4">
        <v>10.78</v>
      </c>
      <c r="I561" s="4">
        <v>86.21</v>
      </c>
      <c r="J561" s="4">
        <v>74.5</v>
      </c>
      <c r="K561" s="4">
        <v>897.27</v>
      </c>
      <c r="L561">
        <f t="shared" si="16"/>
        <v>2025</v>
      </c>
      <c r="M561">
        <f t="shared" si="17"/>
        <v>4</v>
      </c>
    </row>
    <row r="562" spans="1:13" ht="15" customHeight="1" x14ac:dyDescent="0.2">
      <c r="A562" s="3">
        <v>45970</v>
      </c>
      <c r="B562" t="s">
        <v>617</v>
      </c>
      <c r="C562" t="s">
        <v>31</v>
      </c>
      <c r="D562" t="s">
        <v>189</v>
      </c>
      <c r="E562" s="4">
        <v>1250</v>
      </c>
      <c r="F562" s="4">
        <v>181.25</v>
      </c>
      <c r="G562" s="4">
        <v>1077.5899999999999</v>
      </c>
      <c r="H562" s="4">
        <v>10.78</v>
      </c>
      <c r="I562" s="4">
        <v>86.21</v>
      </c>
      <c r="J562" s="4">
        <v>74.5</v>
      </c>
      <c r="K562" s="4">
        <v>897.27</v>
      </c>
      <c r="L562">
        <f t="shared" si="16"/>
        <v>2025</v>
      </c>
      <c r="M562">
        <f t="shared" si="17"/>
        <v>4</v>
      </c>
    </row>
    <row r="563" spans="1:13" ht="15" customHeight="1" x14ac:dyDescent="0.2">
      <c r="A563" s="3">
        <v>45974</v>
      </c>
      <c r="B563" t="s">
        <v>618</v>
      </c>
      <c r="C563" t="s">
        <v>31</v>
      </c>
      <c r="D563" t="s">
        <v>21</v>
      </c>
      <c r="E563" s="4">
        <v>1199</v>
      </c>
      <c r="F563" s="4">
        <v>173.86</v>
      </c>
      <c r="G563" s="4">
        <v>1033.6199999999999</v>
      </c>
      <c r="H563" s="4">
        <v>10.34</v>
      </c>
      <c r="I563" s="4">
        <v>82.69</v>
      </c>
      <c r="J563" s="4">
        <v>74.5</v>
      </c>
      <c r="K563" s="4">
        <v>857.62</v>
      </c>
      <c r="L563">
        <f t="shared" si="16"/>
        <v>2025</v>
      </c>
      <c r="M563">
        <f t="shared" si="17"/>
        <v>4</v>
      </c>
    </row>
    <row r="564" spans="1:13" ht="15" customHeight="1" x14ac:dyDescent="0.2">
      <c r="A564" s="3">
        <v>45974</v>
      </c>
      <c r="B564" t="s">
        <v>619</v>
      </c>
      <c r="C564" t="s">
        <v>515</v>
      </c>
      <c r="D564" t="s">
        <v>93</v>
      </c>
      <c r="E564" s="4">
        <v>385.92</v>
      </c>
      <c r="F564" s="4">
        <v>75.25</v>
      </c>
      <c r="G564" s="4">
        <v>332.69</v>
      </c>
      <c r="H564" s="4">
        <v>3.33</v>
      </c>
      <c r="I564" s="4">
        <v>26.62</v>
      </c>
      <c r="J564" s="4">
        <v>67.599999999999994</v>
      </c>
      <c r="K564" s="4">
        <v>213.12</v>
      </c>
      <c r="L564">
        <f t="shared" si="16"/>
        <v>2025</v>
      </c>
      <c r="M564">
        <f t="shared" si="17"/>
        <v>4</v>
      </c>
    </row>
    <row r="565" spans="1:13" ht="15" customHeight="1" x14ac:dyDescent="0.2">
      <c r="A565" s="3">
        <v>45975</v>
      </c>
      <c r="B565" t="s">
        <v>620</v>
      </c>
      <c r="C565" t="s">
        <v>31</v>
      </c>
      <c r="D565" t="s">
        <v>77</v>
      </c>
      <c r="E565" s="4">
        <v>1139.05</v>
      </c>
      <c r="F565" s="4">
        <v>165.16</v>
      </c>
      <c r="G565" s="4">
        <v>981.94</v>
      </c>
      <c r="H565" s="4">
        <v>9.82</v>
      </c>
      <c r="I565" s="4">
        <v>78.56</v>
      </c>
      <c r="J565" s="4">
        <v>74.5</v>
      </c>
      <c r="K565" s="4">
        <v>811.01</v>
      </c>
      <c r="L565">
        <f t="shared" si="16"/>
        <v>2025</v>
      </c>
      <c r="M565">
        <f t="shared" si="17"/>
        <v>4</v>
      </c>
    </row>
    <row r="566" spans="1:13" ht="15" customHeight="1" x14ac:dyDescent="0.2">
      <c r="A566" s="3">
        <v>45975</v>
      </c>
      <c r="B566" t="s">
        <v>621</v>
      </c>
      <c r="C566" t="s">
        <v>31</v>
      </c>
      <c r="D566" t="s">
        <v>49</v>
      </c>
      <c r="E566" s="4">
        <v>1139.05</v>
      </c>
      <c r="F566" s="4">
        <v>165.16</v>
      </c>
      <c r="G566" s="4">
        <v>981.94</v>
      </c>
      <c r="H566" s="4">
        <v>9.82</v>
      </c>
      <c r="I566" s="4">
        <v>78.56</v>
      </c>
      <c r="J566" s="4">
        <v>74.5</v>
      </c>
      <c r="K566" s="4">
        <v>811.01</v>
      </c>
      <c r="L566">
        <f t="shared" si="16"/>
        <v>2025</v>
      </c>
      <c r="M566">
        <f t="shared" si="17"/>
        <v>4</v>
      </c>
    </row>
    <row r="567" spans="1:13" ht="15" customHeight="1" x14ac:dyDescent="0.2">
      <c r="A567" s="3">
        <v>45975</v>
      </c>
      <c r="B567" t="s">
        <v>622</v>
      </c>
      <c r="C567" t="s">
        <v>31</v>
      </c>
      <c r="D567" t="s">
        <v>85</v>
      </c>
      <c r="E567" s="4">
        <v>1139.05</v>
      </c>
      <c r="F567" s="4">
        <v>165.16</v>
      </c>
      <c r="G567" s="4">
        <v>981.94</v>
      </c>
      <c r="H567" s="4">
        <v>9.82</v>
      </c>
      <c r="I567" s="4">
        <v>78.56</v>
      </c>
      <c r="J567" s="4">
        <v>74.5</v>
      </c>
      <c r="K567" s="4">
        <v>811.01</v>
      </c>
      <c r="L567">
        <f t="shared" si="16"/>
        <v>2025</v>
      </c>
      <c r="M567">
        <f t="shared" si="17"/>
        <v>4</v>
      </c>
    </row>
    <row r="568" spans="1:13" ht="15" customHeight="1" x14ac:dyDescent="0.2">
      <c r="A568" s="3">
        <v>45975</v>
      </c>
      <c r="B568" t="s">
        <v>623</v>
      </c>
      <c r="C568" t="s">
        <v>67</v>
      </c>
      <c r="D568" t="s">
        <v>33</v>
      </c>
      <c r="E568" s="4">
        <v>1106</v>
      </c>
      <c r="F568" s="4">
        <v>110.6</v>
      </c>
      <c r="G568" s="4">
        <v>953.45</v>
      </c>
      <c r="H568" s="4">
        <v>9.5299999999999994</v>
      </c>
      <c r="I568" s="4">
        <v>76.28</v>
      </c>
      <c r="J568" s="4">
        <v>74.5</v>
      </c>
      <c r="K568" s="4">
        <v>835.09</v>
      </c>
      <c r="L568">
        <f t="shared" si="16"/>
        <v>2025</v>
      </c>
      <c r="M568">
        <f t="shared" si="17"/>
        <v>4</v>
      </c>
    </row>
    <row r="569" spans="1:13" ht="15" customHeight="1" x14ac:dyDescent="0.2">
      <c r="A569" s="3">
        <v>45975</v>
      </c>
      <c r="B569" t="s">
        <v>624</v>
      </c>
      <c r="C569" t="s">
        <v>31</v>
      </c>
      <c r="D569" t="s">
        <v>21</v>
      </c>
      <c r="E569" s="4">
        <v>1139.05</v>
      </c>
      <c r="F569" s="4">
        <v>165.16</v>
      </c>
      <c r="G569" s="4">
        <v>981.94</v>
      </c>
      <c r="H569" s="4">
        <v>9.82</v>
      </c>
      <c r="I569" s="4">
        <v>78.56</v>
      </c>
      <c r="J569" s="4">
        <v>74.5</v>
      </c>
      <c r="K569" s="4">
        <v>811.01</v>
      </c>
      <c r="L569">
        <f t="shared" si="16"/>
        <v>2025</v>
      </c>
      <c r="M569">
        <f t="shared" si="17"/>
        <v>4</v>
      </c>
    </row>
    <row r="570" spans="1:13" ht="15" customHeight="1" x14ac:dyDescent="0.2">
      <c r="A570" s="3">
        <v>45975</v>
      </c>
      <c r="B570" t="s">
        <v>625</v>
      </c>
      <c r="C570" t="s">
        <v>31</v>
      </c>
      <c r="D570" t="s">
        <v>93</v>
      </c>
      <c r="E570" s="4">
        <v>1139.05</v>
      </c>
      <c r="F570" s="4">
        <v>165.16</v>
      </c>
      <c r="G570" s="4">
        <v>981.94</v>
      </c>
      <c r="H570" s="4">
        <v>9.82</v>
      </c>
      <c r="I570" s="4">
        <v>78.56</v>
      </c>
      <c r="J570" s="4">
        <v>74.5</v>
      </c>
      <c r="K570" s="4">
        <v>811.01</v>
      </c>
      <c r="L570">
        <f t="shared" si="16"/>
        <v>2025</v>
      </c>
      <c r="M570">
        <f t="shared" si="17"/>
        <v>4</v>
      </c>
    </row>
    <row r="571" spans="1:13" ht="15" customHeight="1" x14ac:dyDescent="0.2">
      <c r="A571" s="3">
        <v>45976</v>
      </c>
      <c r="B571" t="s">
        <v>626</v>
      </c>
      <c r="C571" t="s">
        <v>90</v>
      </c>
      <c r="D571" t="s">
        <v>21</v>
      </c>
      <c r="E571" s="4">
        <v>305.10000000000002</v>
      </c>
      <c r="F571" s="4">
        <v>44.24</v>
      </c>
      <c r="G571" s="4">
        <v>263.02</v>
      </c>
      <c r="H571" s="4">
        <v>2.63</v>
      </c>
      <c r="I571" s="4">
        <v>21.04</v>
      </c>
      <c r="J571" s="4">
        <v>52.4</v>
      </c>
      <c r="K571" s="4">
        <v>184.79</v>
      </c>
      <c r="L571">
        <f t="shared" si="16"/>
        <v>2025</v>
      </c>
      <c r="M571">
        <f t="shared" si="17"/>
        <v>4</v>
      </c>
    </row>
    <row r="572" spans="1:13" ht="15" customHeight="1" x14ac:dyDescent="0.2">
      <c r="A572" s="3">
        <v>45978</v>
      </c>
      <c r="B572" t="s">
        <v>627</v>
      </c>
      <c r="C572" t="s">
        <v>90</v>
      </c>
      <c r="D572" t="s">
        <v>126</v>
      </c>
      <c r="E572" s="4">
        <v>305.10000000000002</v>
      </c>
      <c r="F572" s="4">
        <v>44.24</v>
      </c>
      <c r="G572" s="4">
        <v>263.02</v>
      </c>
      <c r="H572" s="4">
        <v>2.63</v>
      </c>
      <c r="I572" s="4">
        <v>21.04</v>
      </c>
      <c r="J572" s="4">
        <v>52.4</v>
      </c>
      <c r="K572" s="4">
        <v>184.79</v>
      </c>
      <c r="L572">
        <f t="shared" si="16"/>
        <v>2025</v>
      </c>
      <c r="M572">
        <f t="shared" si="17"/>
        <v>4</v>
      </c>
    </row>
    <row r="573" spans="1:13" ht="15" customHeight="1" x14ac:dyDescent="0.2">
      <c r="A573" s="3">
        <v>45978</v>
      </c>
      <c r="B573" t="s">
        <v>628</v>
      </c>
      <c r="C573" t="s">
        <v>67</v>
      </c>
      <c r="D573" t="s">
        <v>143</v>
      </c>
      <c r="E573" s="4">
        <v>1106</v>
      </c>
      <c r="F573" s="4">
        <v>110.6</v>
      </c>
      <c r="G573" s="4">
        <v>953.45</v>
      </c>
      <c r="H573" s="4">
        <v>9.5299999999999994</v>
      </c>
      <c r="I573" s="4">
        <v>76.28</v>
      </c>
      <c r="J573" s="4">
        <v>74.5</v>
      </c>
      <c r="K573" s="4">
        <v>835.09</v>
      </c>
      <c r="L573">
        <f t="shared" si="16"/>
        <v>2025</v>
      </c>
      <c r="M573">
        <f t="shared" si="17"/>
        <v>4</v>
      </c>
    </row>
    <row r="574" spans="1:13" ht="15" customHeight="1" x14ac:dyDescent="0.2">
      <c r="A574" s="3">
        <v>45978</v>
      </c>
      <c r="B574" t="s">
        <v>629</v>
      </c>
      <c r="C574" t="s">
        <v>67</v>
      </c>
      <c r="D574" t="s">
        <v>49</v>
      </c>
      <c r="E574" s="4">
        <v>1106</v>
      </c>
      <c r="F574" s="4">
        <v>110.6</v>
      </c>
      <c r="G574" s="4">
        <v>953.45</v>
      </c>
      <c r="H574" s="4">
        <v>9.5299999999999994</v>
      </c>
      <c r="I574" s="4">
        <v>76.28</v>
      </c>
      <c r="J574" s="4">
        <v>74.5</v>
      </c>
      <c r="K574" s="4">
        <v>835.09</v>
      </c>
      <c r="L574">
        <f t="shared" si="16"/>
        <v>2025</v>
      </c>
      <c r="M574">
        <f t="shared" si="17"/>
        <v>4</v>
      </c>
    </row>
    <row r="575" spans="1:13" ht="15" customHeight="1" x14ac:dyDescent="0.2">
      <c r="A575" s="3">
        <v>45979</v>
      </c>
      <c r="B575" t="s">
        <v>630</v>
      </c>
      <c r="C575" t="s">
        <v>67</v>
      </c>
      <c r="D575" t="s">
        <v>33</v>
      </c>
      <c r="E575" s="4">
        <v>1139.05</v>
      </c>
      <c r="F575" s="4">
        <v>165.16</v>
      </c>
      <c r="G575" s="4">
        <v>981.94</v>
      </c>
      <c r="H575" s="4">
        <v>9.82</v>
      </c>
      <c r="I575" s="4">
        <v>78.56</v>
      </c>
      <c r="J575" s="4">
        <v>74.5</v>
      </c>
      <c r="K575" s="4">
        <v>811.01</v>
      </c>
      <c r="L575">
        <f t="shared" si="16"/>
        <v>2025</v>
      </c>
      <c r="M575">
        <f t="shared" si="17"/>
        <v>4</v>
      </c>
    </row>
    <row r="576" spans="1:13" ht="15" customHeight="1" x14ac:dyDescent="0.2">
      <c r="A576" s="3">
        <v>45981</v>
      </c>
      <c r="B576" t="s">
        <v>631</v>
      </c>
      <c r="C576" t="s">
        <v>31</v>
      </c>
      <c r="D576" t="s">
        <v>35</v>
      </c>
      <c r="E576" s="4">
        <v>1139.05</v>
      </c>
      <c r="F576" s="4">
        <v>165.16</v>
      </c>
      <c r="G576" s="4">
        <v>981.94</v>
      </c>
      <c r="H576" s="4">
        <v>9.82</v>
      </c>
      <c r="I576" s="4">
        <v>78.56</v>
      </c>
      <c r="J576" s="4">
        <v>74.5</v>
      </c>
      <c r="K576" s="4">
        <v>811.01</v>
      </c>
      <c r="L576">
        <f t="shared" si="16"/>
        <v>2025</v>
      </c>
      <c r="M576">
        <f t="shared" si="17"/>
        <v>4</v>
      </c>
    </row>
    <row r="577" spans="1:13" ht="15" customHeight="1" x14ac:dyDescent="0.2">
      <c r="A577" s="3">
        <v>45981</v>
      </c>
      <c r="B577" t="s">
        <v>632</v>
      </c>
      <c r="C577" t="s">
        <v>515</v>
      </c>
      <c r="D577" t="s">
        <v>143</v>
      </c>
      <c r="E577" s="4">
        <v>385.92</v>
      </c>
      <c r="F577" s="4">
        <v>75.25</v>
      </c>
      <c r="G577" s="4">
        <v>332.69</v>
      </c>
      <c r="H577" s="4">
        <v>3.33</v>
      </c>
      <c r="I577" s="4">
        <v>26.62</v>
      </c>
      <c r="J577" s="4">
        <v>67.599999999999994</v>
      </c>
      <c r="K577" s="4">
        <v>213.12</v>
      </c>
      <c r="L577">
        <f t="shared" si="16"/>
        <v>2025</v>
      </c>
      <c r="M577">
        <f t="shared" si="17"/>
        <v>4</v>
      </c>
    </row>
    <row r="578" spans="1:13" ht="15" customHeight="1" x14ac:dyDescent="0.2">
      <c r="A578" s="3">
        <v>45981</v>
      </c>
      <c r="B578" t="s">
        <v>633</v>
      </c>
      <c r="C578" t="s">
        <v>515</v>
      </c>
      <c r="D578" t="s">
        <v>56</v>
      </c>
      <c r="E578" s="4">
        <v>385.92</v>
      </c>
      <c r="F578" s="4">
        <v>75.25</v>
      </c>
      <c r="G578" s="4">
        <v>332.69</v>
      </c>
      <c r="H578" s="4">
        <v>3.33</v>
      </c>
      <c r="I578" s="4">
        <v>26.62</v>
      </c>
      <c r="J578" s="4">
        <v>67.599999999999994</v>
      </c>
      <c r="K578" s="4">
        <v>213.12</v>
      </c>
      <c r="L578">
        <f t="shared" ref="L578:L641" si="18">YEAR(A578)</f>
        <v>2025</v>
      </c>
      <c r="M578">
        <f t="shared" ref="M578:M641" si="19">ROUNDUP(MONTH(A578)/3,0)</f>
        <v>4</v>
      </c>
    </row>
    <row r="579" spans="1:13" ht="15" customHeight="1" x14ac:dyDescent="0.2">
      <c r="A579" s="3">
        <v>45981</v>
      </c>
      <c r="B579" t="s">
        <v>634</v>
      </c>
      <c r="C579" t="s">
        <v>67</v>
      </c>
      <c r="D579" t="s">
        <v>232</v>
      </c>
      <c r="E579" s="4">
        <v>1106</v>
      </c>
      <c r="F579" s="4">
        <v>110.6</v>
      </c>
      <c r="G579" s="4">
        <v>953.45</v>
      </c>
      <c r="H579" s="4">
        <v>9.5299999999999994</v>
      </c>
      <c r="I579" s="4">
        <v>76.28</v>
      </c>
      <c r="J579" s="4">
        <v>74.5</v>
      </c>
      <c r="K579" s="4">
        <v>835.09</v>
      </c>
      <c r="L579">
        <f t="shared" si="18"/>
        <v>2025</v>
      </c>
      <c r="M579">
        <f t="shared" si="19"/>
        <v>4</v>
      </c>
    </row>
    <row r="580" spans="1:13" ht="15" customHeight="1" x14ac:dyDescent="0.2">
      <c r="A580" s="3">
        <v>45981</v>
      </c>
      <c r="B580" t="s">
        <v>635</v>
      </c>
      <c r="C580" t="s">
        <v>67</v>
      </c>
      <c r="D580" t="s">
        <v>143</v>
      </c>
      <c r="E580" s="4">
        <v>1106</v>
      </c>
      <c r="F580" s="4">
        <v>110.6</v>
      </c>
      <c r="G580" s="4">
        <v>953.45</v>
      </c>
      <c r="H580" s="4">
        <v>9.5299999999999994</v>
      </c>
      <c r="I580" s="4">
        <v>76.28</v>
      </c>
      <c r="J580" s="4">
        <v>74.5</v>
      </c>
      <c r="K580" s="4">
        <v>835.09</v>
      </c>
      <c r="L580">
        <f t="shared" si="18"/>
        <v>2025</v>
      </c>
      <c r="M580">
        <f t="shared" si="19"/>
        <v>4</v>
      </c>
    </row>
    <row r="581" spans="1:13" ht="15" customHeight="1" x14ac:dyDescent="0.2">
      <c r="A581" s="3">
        <v>45981</v>
      </c>
      <c r="B581" t="s">
        <v>636</v>
      </c>
      <c r="C581" t="s">
        <v>515</v>
      </c>
      <c r="D581" t="s">
        <v>93</v>
      </c>
      <c r="E581" s="4">
        <v>385.92</v>
      </c>
      <c r="F581" s="4">
        <v>75.25</v>
      </c>
      <c r="G581" s="4">
        <v>332.69</v>
      </c>
      <c r="H581" s="4">
        <v>3.33</v>
      </c>
      <c r="I581" s="4">
        <v>26.62</v>
      </c>
      <c r="J581" s="4">
        <v>67.599999999999994</v>
      </c>
      <c r="K581" s="4">
        <v>213.12</v>
      </c>
      <c r="L581">
        <f t="shared" si="18"/>
        <v>2025</v>
      </c>
      <c r="M581">
        <f t="shared" si="19"/>
        <v>4</v>
      </c>
    </row>
    <row r="582" spans="1:13" ht="15" customHeight="1" x14ac:dyDescent="0.2">
      <c r="A582" s="3">
        <v>45985</v>
      </c>
      <c r="B582" t="s">
        <v>637</v>
      </c>
      <c r="C582" t="s">
        <v>31</v>
      </c>
      <c r="D582" t="s">
        <v>59</v>
      </c>
      <c r="E582" s="4">
        <v>1139.05</v>
      </c>
      <c r="F582" s="4">
        <v>165.16</v>
      </c>
      <c r="G582" s="4">
        <v>981.94</v>
      </c>
      <c r="H582" s="4">
        <v>9.82</v>
      </c>
      <c r="I582" s="4">
        <v>78.56</v>
      </c>
      <c r="J582" s="4">
        <v>74.5</v>
      </c>
      <c r="K582" s="4">
        <v>811.01</v>
      </c>
      <c r="L582">
        <f t="shared" si="18"/>
        <v>2025</v>
      </c>
      <c r="M582">
        <f t="shared" si="19"/>
        <v>4</v>
      </c>
    </row>
    <row r="583" spans="1:13" ht="15" customHeight="1" x14ac:dyDescent="0.2">
      <c r="A583" s="3">
        <v>45985</v>
      </c>
      <c r="B583" t="s">
        <v>638</v>
      </c>
      <c r="C583" t="s">
        <v>31</v>
      </c>
      <c r="D583" t="s">
        <v>59</v>
      </c>
      <c r="E583" s="4">
        <v>1139.05</v>
      </c>
      <c r="F583" s="4">
        <v>165.16</v>
      </c>
      <c r="G583" s="4">
        <v>981.94</v>
      </c>
      <c r="H583" s="4">
        <v>9.82</v>
      </c>
      <c r="I583" s="4">
        <v>78.56</v>
      </c>
      <c r="J583" s="4">
        <v>74.5</v>
      </c>
      <c r="K583" s="4">
        <v>811.01</v>
      </c>
      <c r="L583">
        <f t="shared" si="18"/>
        <v>2025</v>
      </c>
      <c r="M583">
        <f t="shared" si="19"/>
        <v>4</v>
      </c>
    </row>
    <row r="584" spans="1:13" ht="15" customHeight="1" x14ac:dyDescent="0.2">
      <c r="A584" s="3">
        <v>45985</v>
      </c>
      <c r="B584" t="s">
        <v>639</v>
      </c>
      <c r="C584" t="s">
        <v>515</v>
      </c>
      <c r="D584" t="s">
        <v>93</v>
      </c>
      <c r="E584" s="4">
        <v>385.92</v>
      </c>
      <c r="F584" s="4">
        <v>75.25</v>
      </c>
      <c r="G584" s="4">
        <v>332.69</v>
      </c>
      <c r="H584" s="4">
        <v>3.33</v>
      </c>
      <c r="I584" s="4">
        <v>26.62</v>
      </c>
      <c r="J584" s="4">
        <v>67.599999999999994</v>
      </c>
      <c r="K584" s="4">
        <v>213.12</v>
      </c>
      <c r="L584">
        <f t="shared" si="18"/>
        <v>2025</v>
      </c>
      <c r="M584">
        <f t="shared" si="19"/>
        <v>4</v>
      </c>
    </row>
    <row r="585" spans="1:13" ht="15" customHeight="1" x14ac:dyDescent="0.2">
      <c r="A585" s="3">
        <v>45985</v>
      </c>
      <c r="B585" t="s">
        <v>640</v>
      </c>
      <c r="C585" t="s">
        <v>67</v>
      </c>
      <c r="D585" t="s">
        <v>93</v>
      </c>
      <c r="E585" s="4">
        <v>1499</v>
      </c>
      <c r="F585" s="4">
        <v>217.36</v>
      </c>
      <c r="G585" s="4">
        <v>1292.24</v>
      </c>
      <c r="H585" s="4">
        <v>12.92</v>
      </c>
      <c r="I585" s="4">
        <v>103.38</v>
      </c>
      <c r="J585" s="4">
        <v>74.5</v>
      </c>
      <c r="K585" s="4">
        <v>1090.8399999999999</v>
      </c>
      <c r="L585">
        <f t="shared" si="18"/>
        <v>2025</v>
      </c>
      <c r="M585">
        <f t="shared" si="19"/>
        <v>4</v>
      </c>
    </row>
    <row r="586" spans="1:13" ht="15" customHeight="1" x14ac:dyDescent="0.2">
      <c r="A586" s="3">
        <v>45986</v>
      </c>
      <c r="B586" t="s">
        <v>641</v>
      </c>
      <c r="C586" t="s">
        <v>90</v>
      </c>
      <c r="D586" t="s">
        <v>33</v>
      </c>
      <c r="E586" s="4">
        <v>305.10000000000002</v>
      </c>
      <c r="F586" s="4">
        <v>44.24</v>
      </c>
      <c r="G586" s="4">
        <v>263.02</v>
      </c>
      <c r="H586" s="4">
        <v>2.63</v>
      </c>
      <c r="I586" s="4">
        <v>21.04</v>
      </c>
      <c r="J586" s="4">
        <v>52.4</v>
      </c>
      <c r="K586" s="4">
        <v>184.79</v>
      </c>
      <c r="L586">
        <f t="shared" si="18"/>
        <v>2025</v>
      </c>
      <c r="M586">
        <f t="shared" si="19"/>
        <v>4</v>
      </c>
    </row>
    <row r="587" spans="1:13" ht="15" customHeight="1" x14ac:dyDescent="0.2">
      <c r="A587" s="3">
        <v>45987</v>
      </c>
      <c r="B587" t="s">
        <v>631</v>
      </c>
      <c r="C587" t="s">
        <v>31</v>
      </c>
      <c r="D587" t="s">
        <v>35</v>
      </c>
      <c r="E587" s="4">
        <v>1139.05</v>
      </c>
      <c r="F587" s="4">
        <v>165.16</v>
      </c>
      <c r="G587" s="4">
        <v>981.94</v>
      </c>
      <c r="H587" s="4">
        <v>9.82</v>
      </c>
      <c r="I587" s="4">
        <v>78.56</v>
      </c>
      <c r="J587" s="4">
        <v>74.5</v>
      </c>
      <c r="K587" s="4">
        <v>811.01</v>
      </c>
      <c r="L587">
        <f t="shared" si="18"/>
        <v>2025</v>
      </c>
      <c r="M587">
        <f t="shared" si="19"/>
        <v>4</v>
      </c>
    </row>
    <row r="588" spans="1:13" ht="15" customHeight="1" x14ac:dyDescent="0.2">
      <c r="A588" s="3">
        <v>45988</v>
      </c>
      <c r="B588" t="s">
        <v>642</v>
      </c>
      <c r="C588" t="s">
        <v>90</v>
      </c>
      <c r="D588" t="s">
        <v>49</v>
      </c>
      <c r="E588" s="4">
        <v>305.10000000000002</v>
      </c>
      <c r="F588" s="4">
        <v>44.24</v>
      </c>
      <c r="G588" s="4">
        <v>263.02</v>
      </c>
      <c r="H588" s="4">
        <v>2.63</v>
      </c>
      <c r="I588" s="4">
        <v>21.04</v>
      </c>
      <c r="J588" s="4">
        <v>52.4</v>
      </c>
      <c r="K588" s="4">
        <v>184.79</v>
      </c>
      <c r="L588">
        <f t="shared" si="18"/>
        <v>2025</v>
      </c>
      <c r="M588">
        <f t="shared" si="19"/>
        <v>4</v>
      </c>
    </row>
    <row r="589" spans="1:13" ht="15" customHeight="1" x14ac:dyDescent="0.2">
      <c r="A589" s="3">
        <v>45988</v>
      </c>
      <c r="B589" t="s">
        <v>643</v>
      </c>
      <c r="C589" t="s">
        <v>31</v>
      </c>
      <c r="D589" t="s">
        <v>33</v>
      </c>
      <c r="E589" s="4">
        <v>1139.05</v>
      </c>
      <c r="F589" s="4">
        <v>165.16</v>
      </c>
      <c r="G589" s="4">
        <v>981.94</v>
      </c>
      <c r="H589" s="4">
        <v>9.82</v>
      </c>
      <c r="I589" s="4">
        <v>78.56</v>
      </c>
      <c r="J589" s="4">
        <v>74.5</v>
      </c>
      <c r="K589" s="4">
        <v>811.01</v>
      </c>
      <c r="L589">
        <f t="shared" si="18"/>
        <v>2025</v>
      </c>
      <c r="M589">
        <f t="shared" si="19"/>
        <v>4</v>
      </c>
    </row>
    <row r="590" spans="1:13" ht="15" customHeight="1" x14ac:dyDescent="0.2">
      <c r="A590" s="3">
        <v>45989</v>
      </c>
      <c r="B590" t="s">
        <v>644</v>
      </c>
      <c r="C590" t="s">
        <v>90</v>
      </c>
      <c r="D590" t="s">
        <v>93</v>
      </c>
      <c r="E590" s="4">
        <v>305.10000000000002</v>
      </c>
      <c r="F590" s="4">
        <v>44.24</v>
      </c>
      <c r="G590" s="4">
        <v>263.02</v>
      </c>
      <c r="H590" s="4">
        <v>2.63</v>
      </c>
      <c r="I590" s="4">
        <v>21.04</v>
      </c>
      <c r="J590" s="4">
        <v>52.4</v>
      </c>
      <c r="K590" s="4">
        <v>184.79</v>
      </c>
      <c r="L590">
        <f t="shared" si="18"/>
        <v>2025</v>
      </c>
      <c r="M590">
        <f t="shared" si="19"/>
        <v>4</v>
      </c>
    </row>
    <row r="591" spans="1:13" ht="15" customHeight="1" x14ac:dyDescent="0.2">
      <c r="A591" s="3">
        <v>45991</v>
      </c>
      <c r="B591" t="s">
        <v>645</v>
      </c>
      <c r="C591" t="s">
        <v>31</v>
      </c>
      <c r="D591" t="s">
        <v>38</v>
      </c>
      <c r="E591" s="4">
        <v>1115</v>
      </c>
      <c r="F591" s="4">
        <v>161.68</v>
      </c>
      <c r="G591" s="4">
        <v>961.21</v>
      </c>
      <c r="H591" s="4">
        <v>9.61</v>
      </c>
      <c r="I591" s="4">
        <v>76.900000000000006</v>
      </c>
      <c r="J591" s="4">
        <v>74.5</v>
      </c>
      <c r="K591" s="4">
        <v>792.32</v>
      </c>
      <c r="L591">
        <f t="shared" si="18"/>
        <v>2025</v>
      </c>
      <c r="M591">
        <f t="shared" si="19"/>
        <v>4</v>
      </c>
    </row>
    <row r="592" spans="1:13" ht="15" customHeight="1" x14ac:dyDescent="0.2">
      <c r="A592" s="3">
        <v>45991</v>
      </c>
      <c r="B592" t="s">
        <v>646</v>
      </c>
      <c r="C592" t="s">
        <v>458</v>
      </c>
      <c r="D592" t="s">
        <v>93</v>
      </c>
      <c r="E592" s="4">
        <v>1798.2</v>
      </c>
      <c r="F592" s="4">
        <v>260.74</v>
      </c>
      <c r="G592" s="4">
        <v>1550.17</v>
      </c>
      <c r="H592" s="4">
        <v>15.5</v>
      </c>
      <c r="I592" s="4">
        <v>124.01</v>
      </c>
      <c r="J592" s="4">
        <v>84.5</v>
      </c>
      <c r="K592" s="4">
        <v>1313.45</v>
      </c>
      <c r="L592">
        <f t="shared" si="18"/>
        <v>2025</v>
      </c>
      <c r="M592">
        <f t="shared" si="19"/>
        <v>4</v>
      </c>
    </row>
    <row r="593" spans="1:13" ht="15" customHeight="1" x14ac:dyDescent="0.2">
      <c r="A593" s="3">
        <v>45991</v>
      </c>
      <c r="B593" t="s">
        <v>647</v>
      </c>
      <c r="C593" t="s">
        <v>541</v>
      </c>
      <c r="D593" t="s">
        <v>33</v>
      </c>
      <c r="E593" s="4">
        <v>385.92</v>
      </c>
      <c r="F593" s="4">
        <v>75.25</v>
      </c>
      <c r="G593" s="4">
        <v>332.69</v>
      </c>
      <c r="H593" s="4">
        <v>3.33</v>
      </c>
      <c r="I593" s="4">
        <v>26.62</v>
      </c>
      <c r="J593" s="4">
        <v>67.599999999999994</v>
      </c>
      <c r="K593" s="4">
        <v>213.12</v>
      </c>
      <c r="L593">
        <f t="shared" si="18"/>
        <v>2025</v>
      </c>
      <c r="M593">
        <f t="shared" si="19"/>
        <v>4</v>
      </c>
    </row>
    <row r="594" spans="1:13" ht="15" customHeight="1" x14ac:dyDescent="0.2">
      <c r="A594" s="3">
        <v>45991</v>
      </c>
      <c r="B594" t="s">
        <v>648</v>
      </c>
      <c r="C594" t="s">
        <v>515</v>
      </c>
      <c r="D594" t="s">
        <v>33</v>
      </c>
      <c r="E594" s="4">
        <v>385.92</v>
      </c>
      <c r="F594" s="4">
        <v>75.25</v>
      </c>
      <c r="G594" s="4">
        <v>332.69</v>
      </c>
      <c r="H594" s="4">
        <v>3.33</v>
      </c>
      <c r="I594" s="4">
        <v>26.62</v>
      </c>
      <c r="J594" s="4">
        <v>67.599999999999994</v>
      </c>
      <c r="K594" s="4">
        <v>213.12</v>
      </c>
      <c r="L594">
        <f t="shared" si="18"/>
        <v>2025</v>
      </c>
      <c r="M594">
        <f t="shared" si="19"/>
        <v>4</v>
      </c>
    </row>
    <row r="595" spans="1:13" ht="15" customHeight="1" x14ac:dyDescent="0.2">
      <c r="A595" s="3">
        <v>45991</v>
      </c>
      <c r="B595" t="s">
        <v>649</v>
      </c>
      <c r="C595" t="s">
        <v>31</v>
      </c>
      <c r="D595" t="s">
        <v>27</v>
      </c>
      <c r="E595" s="4">
        <v>1115</v>
      </c>
      <c r="F595" s="4">
        <v>161.68</v>
      </c>
      <c r="G595" s="4">
        <v>961.21</v>
      </c>
      <c r="H595" s="4">
        <v>9.61</v>
      </c>
      <c r="I595" s="4">
        <v>76.900000000000006</v>
      </c>
      <c r="J595" s="4">
        <v>74.5</v>
      </c>
      <c r="K595" s="4">
        <v>792.32</v>
      </c>
      <c r="L595">
        <f t="shared" si="18"/>
        <v>2025</v>
      </c>
      <c r="M595">
        <f t="shared" si="19"/>
        <v>4</v>
      </c>
    </row>
    <row r="596" spans="1:13" ht="15" customHeight="1" x14ac:dyDescent="0.2">
      <c r="A596" s="3">
        <v>45991</v>
      </c>
      <c r="B596" t="s">
        <v>650</v>
      </c>
      <c r="C596" t="s">
        <v>515</v>
      </c>
      <c r="D596" t="s">
        <v>33</v>
      </c>
      <c r="E596" s="4">
        <v>385.92</v>
      </c>
      <c r="F596" s="4">
        <v>75.25</v>
      </c>
      <c r="G596" s="4">
        <v>332.69</v>
      </c>
      <c r="H596" s="4">
        <v>3.33</v>
      </c>
      <c r="I596" s="4">
        <v>26.62</v>
      </c>
      <c r="J596" s="4">
        <v>67.599999999999994</v>
      </c>
      <c r="K596" s="4">
        <v>213.12</v>
      </c>
      <c r="L596">
        <f t="shared" si="18"/>
        <v>2025</v>
      </c>
      <c r="M596">
        <f t="shared" si="19"/>
        <v>4</v>
      </c>
    </row>
    <row r="597" spans="1:13" ht="15" customHeight="1" x14ac:dyDescent="0.2">
      <c r="A597" s="3">
        <v>45991</v>
      </c>
      <c r="B597" t="s">
        <v>651</v>
      </c>
      <c r="C597" t="s">
        <v>31</v>
      </c>
      <c r="D597" t="s">
        <v>93</v>
      </c>
      <c r="E597" s="4">
        <v>1115</v>
      </c>
      <c r="F597" s="4">
        <v>161.68</v>
      </c>
      <c r="G597" s="4">
        <v>961.21</v>
      </c>
      <c r="H597" s="4">
        <v>9.61</v>
      </c>
      <c r="I597" s="4">
        <v>76.900000000000006</v>
      </c>
      <c r="J597" s="4">
        <v>74.5</v>
      </c>
      <c r="K597" s="4">
        <v>792.32</v>
      </c>
      <c r="L597">
        <f t="shared" si="18"/>
        <v>2025</v>
      </c>
      <c r="M597">
        <f t="shared" si="19"/>
        <v>4</v>
      </c>
    </row>
    <row r="598" spans="1:13" ht="15" customHeight="1" x14ac:dyDescent="0.2">
      <c r="A598" s="3">
        <v>45992</v>
      </c>
      <c r="B598" t="s">
        <v>652</v>
      </c>
      <c r="C598" t="s">
        <v>31</v>
      </c>
      <c r="D598" t="s">
        <v>49</v>
      </c>
      <c r="E598" s="4">
        <v>1115</v>
      </c>
      <c r="F598" s="4">
        <v>161.68</v>
      </c>
      <c r="G598" s="4">
        <v>961.21</v>
      </c>
      <c r="H598" s="4">
        <v>9.61</v>
      </c>
      <c r="I598" s="4">
        <v>76.900000000000006</v>
      </c>
      <c r="J598" s="4">
        <v>74.5</v>
      </c>
      <c r="K598" s="4">
        <v>792.32</v>
      </c>
      <c r="L598">
        <f t="shared" si="18"/>
        <v>2025</v>
      </c>
      <c r="M598">
        <f t="shared" si="19"/>
        <v>4</v>
      </c>
    </row>
    <row r="599" spans="1:13" ht="15" customHeight="1" x14ac:dyDescent="0.2">
      <c r="A599" s="3">
        <v>45993</v>
      </c>
      <c r="B599" t="s">
        <v>653</v>
      </c>
      <c r="C599" t="s">
        <v>31</v>
      </c>
      <c r="D599" t="s">
        <v>38</v>
      </c>
      <c r="E599" s="4">
        <v>1499</v>
      </c>
      <c r="F599" s="4">
        <v>217.36</v>
      </c>
      <c r="G599" s="4">
        <v>1292.24</v>
      </c>
      <c r="H599" s="4">
        <v>12.92</v>
      </c>
      <c r="I599" s="4">
        <v>103.38</v>
      </c>
      <c r="J599" s="4">
        <v>74.5</v>
      </c>
      <c r="K599" s="4">
        <v>1090.8399999999999</v>
      </c>
      <c r="L599">
        <f t="shared" si="18"/>
        <v>2025</v>
      </c>
      <c r="M599">
        <f t="shared" si="19"/>
        <v>4</v>
      </c>
    </row>
    <row r="600" spans="1:13" ht="15" customHeight="1" x14ac:dyDescent="0.2">
      <c r="A600" s="3">
        <v>45993</v>
      </c>
      <c r="B600" t="s">
        <v>654</v>
      </c>
      <c r="C600" t="s">
        <v>562</v>
      </c>
      <c r="D600" t="s">
        <v>49</v>
      </c>
      <c r="E600" s="4">
        <v>1026.27</v>
      </c>
      <c r="F600" s="4">
        <v>200.12</v>
      </c>
      <c r="G600" s="4">
        <v>884.72</v>
      </c>
      <c r="H600" s="4">
        <v>8.85</v>
      </c>
      <c r="I600" s="4">
        <v>70.78</v>
      </c>
      <c r="J600" s="4">
        <v>103</v>
      </c>
      <c r="K600" s="4">
        <v>643.52</v>
      </c>
      <c r="L600">
        <f t="shared" si="18"/>
        <v>2025</v>
      </c>
      <c r="M600">
        <f t="shared" si="19"/>
        <v>4</v>
      </c>
    </row>
    <row r="601" spans="1:13" ht="15" customHeight="1" x14ac:dyDescent="0.2">
      <c r="A601" s="3">
        <v>45993</v>
      </c>
      <c r="B601" t="s">
        <v>655</v>
      </c>
      <c r="C601" t="s">
        <v>90</v>
      </c>
      <c r="D601" t="s">
        <v>56</v>
      </c>
      <c r="E601" s="4">
        <v>339</v>
      </c>
      <c r="F601" s="4">
        <v>49.16</v>
      </c>
      <c r="G601" s="4">
        <v>292.24</v>
      </c>
      <c r="H601" s="4">
        <v>2.92</v>
      </c>
      <c r="I601" s="4">
        <v>23.38</v>
      </c>
      <c r="J601" s="4">
        <v>52.4</v>
      </c>
      <c r="K601" s="4">
        <v>211.14</v>
      </c>
      <c r="L601">
        <f t="shared" si="18"/>
        <v>2025</v>
      </c>
      <c r="M601">
        <f t="shared" si="19"/>
        <v>4</v>
      </c>
    </row>
    <row r="602" spans="1:13" ht="15" customHeight="1" x14ac:dyDescent="0.2">
      <c r="A602" s="3">
        <v>45995</v>
      </c>
      <c r="B602" t="s">
        <v>656</v>
      </c>
      <c r="C602" t="s">
        <v>541</v>
      </c>
      <c r="D602" t="s">
        <v>38</v>
      </c>
      <c r="E602" s="4">
        <v>399</v>
      </c>
      <c r="F602" s="4">
        <v>77.81</v>
      </c>
      <c r="G602" s="4">
        <v>343.97</v>
      </c>
      <c r="H602" s="4">
        <v>3.44</v>
      </c>
      <c r="I602" s="4">
        <v>27.52</v>
      </c>
      <c r="J602" s="4">
        <v>67.599999999999994</v>
      </c>
      <c r="K602" s="4">
        <v>222.64</v>
      </c>
      <c r="L602">
        <f t="shared" si="18"/>
        <v>2025</v>
      </c>
      <c r="M602">
        <f t="shared" si="19"/>
        <v>4</v>
      </c>
    </row>
    <row r="603" spans="1:13" ht="15" customHeight="1" x14ac:dyDescent="0.2">
      <c r="A603" s="3">
        <v>45995</v>
      </c>
      <c r="B603" t="s">
        <v>657</v>
      </c>
      <c r="C603" t="s">
        <v>67</v>
      </c>
      <c r="D603" t="s">
        <v>27</v>
      </c>
      <c r="E603" s="4">
        <v>1499</v>
      </c>
      <c r="F603" s="4">
        <v>217.36</v>
      </c>
      <c r="G603" s="4">
        <v>1292.24</v>
      </c>
      <c r="H603" s="4">
        <v>12.92</v>
      </c>
      <c r="I603" s="4">
        <v>103.38</v>
      </c>
      <c r="J603" s="4">
        <v>74.5</v>
      </c>
      <c r="K603" s="4">
        <v>1090.8399999999999</v>
      </c>
      <c r="L603">
        <f t="shared" si="18"/>
        <v>2025</v>
      </c>
      <c r="M603">
        <f t="shared" si="19"/>
        <v>4</v>
      </c>
    </row>
    <row r="604" spans="1:13" ht="15" customHeight="1" x14ac:dyDescent="0.2">
      <c r="A604" s="3">
        <v>45995</v>
      </c>
      <c r="B604" t="s">
        <v>658</v>
      </c>
      <c r="C604" t="s">
        <v>90</v>
      </c>
      <c r="D604" t="s">
        <v>77</v>
      </c>
      <c r="E604" s="4">
        <v>339</v>
      </c>
      <c r="F604" s="4">
        <v>49.16</v>
      </c>
      <c r="G604" s="4">
        <v>292.24</v>
      </c>
      <c r="H604" s="4">
        <v>2.92</v>
      </c>
      <c r="I604" s="4">
        <v>23.38</v>
      </c>
      <c r="J604" s="4">
        <v>52.4</v>
      </c>
      <c r="K604" s="4">
        <v>211.14</v>
      </c>
      <c r="L604">
        <f t="shared" si="18"/>
        <v>2025</v>
      </c>
      <c r="M604">
        <f t="shared" si="19"/>
        <v>4</v>
      </c>
    </row>
    <row r="605" spans="1:13" ht="15" customHeight="1" x14ac:dyDescent="0.2">
      <c r="A605" s="3">
        <v>45996</v>
      </c>
      <c r="B605" t="s">
        <v>659</v>
      </c>
      <c r="C605" t="s">
        <v>90</v>
      </c>
      <c r="D605" t="s">
        <v>24</v>
      </c>
      <c r="E605" s="4">
        <v>339</v>
      </c>
      <c r="F605" s="4">
        <v>49.16</v>
      </c>
      <c r="G605" s="4">
        <v>292.24</v>
      </c>
      <c r="H605" s="4">
        <v>2.92</v>
      </c>
      <c r="I605" s="4">
        <v>23.38</v>
      </c>
      <c r="J605" s="4">
        <v>52.4</v>
      </c>
      <c r="K605" s="4">
        <v>211.14</v>
      </c>
      <c r="L605">
        <f t="shared" si="18"/>
        <v>2025</v>
      </c>
      <c r="M605">
        <f t="shared" si="19"/>
        <v>4</v>
      </c>
    </row>
    <row r="606" spans="1:13" ht="15" customHeight="1" x14ac:dyDescent="0.2">
      <c r="A606" s="3">
        <v>45997</v>
      </c>
      <c r="B606" t="s">
        <v>660</v>
      </c>
      <c r="C606" t="s">
        <v>31</v>
      </c>
      <c r="D606" t="s">
        <v>38</v>
      </c>
      <c r="E606" s="4">
        <v>1098</v>
      </c>
      <c r="F606" s="4">
        <v>159.21</v>
      </c>
      <c r="G606" s="4">
        <v>946.55</v>
      </c>
      <c r="H606" s="4">
        <v>9.4700000000000006</v>
      </c>
      <c r="I606" s="4">
        <v>75.72</v>
      </c>
      <c r="J606" s="4">
        <v>74.5</v>
      </c>
      <c r="K606" s="4">
        <v>779.1</v>
      </c>
      <c r="L606">
        <f t="shared" si="18"/>
        <v>2025</v>
      </c>
      <c r="M606">
        <f t="shared" si="19"/>
        <v>4</v>
      </c>
    </row>
    <row r="607" spans="1:13" ht="15" customHeight="1" x14ac:dyDescent="0.2">
      <c r="A607" s="3">
        <v>45997</v>
      </c>
      <c r="B607" t="s">
        <v>661</v>
      </c>
      <c r="C607" t="s">
        <v>662</v>
      </c>
      <c r="D607" t="s">
        <v>93</v>
      </c>
      <c r="E607" s="4">
        <v>89</v>
      </c>
      <c r="F607" s="4">
        <v>42.36</v>
      </c>
      <c r="G607" s="4">
        <v>76.72</v>
      </c>
      <c r="H607" s="4">
        <v>0.77</v>
      </c>
      <c r="I607" s="4">
        <v>6.14</v>
      </c>
      <c r="J607" s="4">
        <v>0</v>
      </c>
      <c r="K607" s="4">
        <v>39.729999999999997</v>
      </c>
      <c r="L607">
        <f t="shared" si="18"/>
        <v>2025</v>
      </c>
      <c r="M607">
        <f t="shared" si="19"/>
        <v>4</v>
      </c>
    </row>
    <row r="608" spans="1:13" ht="15" customHeight="1" x14ac:dyDescent="0.2">
      <c r="A608" s="3">
        <v>45998</v>
      </c>
      <c r="B608" t="s">
        <v>663</v>
      </c>
      <c r="C608" t="s">
        <v>541</v>
      </c>
      <c r="D608" t="s">
        <v>314</v>
      </c>
      <c r="E608" s="4">
        <v>399</v>
      </c>
      <c r="F608" s="4">
        <v>77.81</v>
      </c>
      <c r="G608" s="4">
        <v>343.97</v>
      </c>
      <c r="H608" s="4">
        <v>3.44</v>
      </c>
      <c r="I608" s="4">
        <v>27.52</v>
      </c>
      <c r="J608" s="4">
        <v>67.599999999999994</v>
      </c>
      <c r="K608" s="4">
        <v>222.64</v>
      </c>
      <c r="L608">
        <f t="shared" si="18"/>
        <v>2025</v>
      </c>
      <c r="M608">
        <f t="shared" si="19"/>
        <v>4</v>
      </c>
    </row>
    <row r="609" spans="1:13" ht="15" customHeight="1" x14ac:dyDescent="0.2">
      <c r="A609" s="3">
        <v>45998</v>
      </c>
      <c r="B609" t="s">
        <v>664</v>
      </c>
      <c r="C609" t="s">
        <v>31</v>
      </c>
      <c r="D609" t="s">
        <v>49</v>
      </c>
      <c r="E609" s="4">
        <v>1098</v>
      </c>
      <c r="F609" s="4">
        <v>159.21</v>
      </c>
      <c r="G609" s="4">
        <v>946.55</v>
      </c>
      <c r="H609" s="4">
        <v>9.4700000000000006</v>
      </c>
      <c r="I609" s="4">
        <v>75.72</v>
      </c>
      <c r="J609" s="4">
        <v>74.5</v>
      </c>
      <c r="K609" s="4">
        <v>779.1</v>
      </c>
      <c r="L609">
        <f t="shared" si="18"/>
        <v>2025</v>
      </c>
      <c r="M609">
        <f t="shared" si="19"/>
        <v>4</v>
      </c>
    </row>
    <row r="610" spans="1:13" ht="15" customHeight="1" x14ac:dyDescent="0.2">
      <c r="A610" s="3">
        <v>45999</v>
      </c>
      <c r="B610" t="s">
        <v>665</v>
      </c>
      <c r="C610" t="s">
        <v>31</v>
      </c>
      <c r="D610" t="s">
        <v>77</v>
      </c>
      <c r="E610" s="4">
        <v>1098</v>
      </c>
      <c r="F610" s="4">
        <v>159.21</v>
      </c>
      <c r="G610" s="4">
        <v>946.55</v>
      </c>
      <c r="H610" s="4">
        <v>9.4700000000000006</v>
      </c>
      <c r="I610" s="4">
        <v>75.72</v>
      </c>
      <c r="J610" s="4">
        <v>74.5</v>
      </c>
      <c r="K610" s="4">
        <v>779.1</v>
      </c>
      <c r="L610">
        <f t="shared" si="18"/>
        <v>2025</v>
      </c>
      <c r="M610">
        <f t="shared" si="19"/>
        <v>4</v>
      </c>
    </row>
    <row r="611" spans="1:13" ht="15" customHeight="1" x14ac:dyDescent="0.2">
      <c r="A611" s="3">
        <v>46000</v>
      </c>
      <c r="B611" t="s">
        <v>666</v>
      </c>
      <c r="C611" t="s">
        <v>67</v>
      </c>
      <c r="D611" t="s">
        <v>59</v>
      </c>
      <c r="E611" s="4">
        <v>1499</v>
      </c>
      <c r="F611" s="4">
        <v>217.36</v>
      </c>
      <c r="G611" s="4">
        <v>1292.24</v>
      </c>
      <c r="H611" s="4">
        <v>12.92</v>
      </c>
      <c r="I611" s="4">
        <v>103.38</v>
      </c>
      <c r="J611" s="4">
        <v>74.5</v>
      </c>
      <c r="K611" s="4">
        <v>1090.8399999999999</v>
      </c>
      <c r="L611">
        <f t="shared" si="18"/>
        <v>2025</v>
      </c>
      <c r="M611">
        <f t="shared" si="19"/>
        <v>4</v>
      </c>
    </row>
    <row r="612" spans="1:13" ht="15" customHeight="1" x14ac:dyDescent="0.2">
      <c r="A612" s="3">
        <v>46000</v>
      </c>
      <c r="B612" t="s">
        <v>667</v>
      </c>
      <c r="C612" t="s">
        <v>31</v>
      </c>
      <c r="D612" t="s">
        <v>59</v>
      </c>
      <c r="E612" s="4">
        <v>1098</v>
      </c>
      <c r="F612" s="4">
        <v>159.21</v>
      </c>
      <c r="G612" s="4">
        <v>946.55</v>
      </c>
      <c r="H612" s="4">
        <v>9.4700000000000006</v>
      </c>
      <c r="I612" s="4">
        <v>75.72</v>
      </c>
      <c r="J612" s="4">
        <v>74.5</v>
      </c>
      <c r="K612" s="4">
        <v>779.1</v>
      </c>
      <c r="L612">
        <f t="shared" si="18"/>
        <v>2025</v>
      </c>
      <c r="M612">
        <f t="shared" si="19"/>
        <v>4</v>
      </c>
    </row>
    <row r="613" spans="1:13" ht="15" customHeight="1" x14ac:dyDescent="0.2">
      <c r="A613" s="3">
        <v>46000</v>
      </c>
      <c r="B613" t="s">
        <v>668</v>
      </c>
      <c r="C613" t="s">
        <v>580</v>
      </c>
      <c r="D613" t="s">
        <v>215</v>
      </c>
      <c r="E613" s="4">
        <v>566.37</v>
      </c>
      <c r="F613" s="4">
        <v>110.44</v>
      </c>
      <c r="G613" s="4">
        <v>488.25</v>
      </c>
      <c r="H613" s="4">
        <v>4.88</v>
      </c>
      <c r="I613" s="4">
        <v>39.06</v>
      </c>
      <c r="J613" s="4">
        <v>103</v>
      </c>
      <c r="K613" s="4">
        <v>308.99</v>
      </c>
      <c r="L613">
        <f t="shared" si="18"/>
        <v>2025</v>
      </c>
      <c r="M613">
        <f t="shared" si="19"/>
        <v>4</v>
      </c>
    </row>
    <row r="614" spans="1:13" ht="15" customHeight="1" x14ac:dyDescent="0.2">
      <c r="A614" s="3">
        <v>46001</v>
      </c>
      <c r="B614" t="s">
        <v>669</v>
      </c>
      <c r="C614" t="s">
        <v>90</v>
      </c>
      <c r="D614" t="s">
        <v>38</v>
      </c>
      <c r="E614" s="4">
        <v>339</v>
      </c>
      <c r="F614" s="4">
        <v>49.16</v>
      </c>
      <c r="G614" s="4">
        <v>292.24</v>
      </c>
      <c r="H614" s="4">
        <v>2.92</v>
      </c>
      <c r="I614" s="4">
        <v>23.38</v>
      </c>
      <c r="J614" s="4">
        <v>52.4</v>
      </c>
      <c r="K614" s="4">
        <v>211.14</v>
      </c>
      <c r="L614">
        <f t="shared" si="18"/>
        <v>2025</v>
      </c>
      <c r="M614">
        <f t="shared" si="19"/>
        <v>4</v>
      </c>
    </row>
    <row r="615" spans="1:13" ht="15" customHeight="1" x14ac:dyDescent="0.2">
      <c r="A615" s="3">
        <v>46002</v>
      </c>
      <c r="B615" t="s">
        <v>670</v>
      </c>
      <c r="C615" t="s">
        <v>31</v>
      </c>
      <c r="D615" t="s">
        <v>21</v>
      </c>
      <c r="E615" s="4">
        <v>1098</v>
      </c>
      <c r="F615" s="4">
        <v>159.21</v>
      </c>
      <c r="G615" s="4">
        <v>946.55</v>
      </c>
      <c r="H615" s="4">
        <v>9.4700000000000006</v>
      </c>
      <c r="I615" s="4">
        <v>75.72</v>
      </c>
      <c r="J615" s="4">
        <v>74.5</v>
      </c>
      <c r="K615" s="4">
        <v>779.1</v>
      </c>
      <c r="L615">
        <f t="shared" si="18"/>
        <v>2025</v>
      </c>
      <c r="M615">
        <f t="shared" si="19"/>
        <v>4</v>
      </c>
    </row>
    <row r="616" spans="1:13" ht="15" customHeight="1" x14ac:dyDescent="0.2">
      <c r="A616" s="3">
        <v>46002</v>
      </c>
      <c r="B616" t="s">
        <v>671</v>
      </c>
      <c r="C616" t="s">
        <v>31</v>
      </c>
      <c r="D616" t="s">
        <v>93</v>
      </c>
      <c r="E616" s="4">
        <v>1098</v>
      </c>
      <c r="F616" s="4">
        <v>159.21</v>
      </c>
      <c r="G616" s="4">
        <v>946.55</v>
      </c>
      <c r="H616" s="4">
        <v>9.4700000000000006</v>
      </c>
      <c r="I616" s="4">
        <v>75.72</v>
      </c>
      <c r="J616" s="4">
        <v>74.5</v>
      </c>
      <c r="K616" s="4">
        <v>779.1</v>
      </c>
      <c r="L616">
        <f t="shared" si="18"/>
        <v>2025</v>
      </c>
      <c r="M616">
        <f t="shared" si="19"/>
        <v>4</v>
      </c>
    </row>
    <row r="617" spans="1:13" ht="15" customHeight="1" x14ac:dyDescent="0.2">
      <c r="A617" s="3">
        <v>46002</v>
      </c>
      <c r="B617" t="s">
        <v>672</v>
      </c>
      <c r="C617" t="s">
        <v>31</v>
      </c>
      <c r="D617" t="s">
        <v>109</v>
      </c>
      <c r="E617" s="4">
        <v>1098</v>
      </c>
      <c r="F617" s="4">
        <v>159.21</v>
      </c>
      <c r="G617" s="4">
        <v>946.55</v>
      </c>
      <c r="H617" s="4">
        <v>9.4700000000000006</v>
      </c>
      <c r="I617" s="4">
        <v>75.72</v>
      </c>
      <c r="J617" s="4">
        <v>74.5</v>
      </c>
      <c r="K617" s="4">
        <v>779.1</v>
      </c>
      <c r="L617">
        <f t="shared" si="18"/>
        <v>2025</v>
      </c>
      <c r="M617">
        <f t="shared" si="19"/>
        <v>4</v>
      </c>
    </row>
    <row r="618" spans="1:13" ht="15" customHeight="1" x14ac:dyDescent="0.2">
      <c r="A618" s="3">
        <v>46002</v>
      </c>
      <c r="B618" t="s">
        <v>673</v>
      </c>
      <c r="C618" t="s">
        <v>31</v>
      </c>
      <c r="D618" t="s">
        <v>49</v>
      </c>
      <c r="E618" s="4">
        <v>1098</v>
      </c>
      <c r="F618" s="4">
        <v>159.21</v>
      </c>
      <c r="G618" s="4">
        <v>946.55</v>
      </c>
      <c r="H618" s="4">
        <v>9.4700000000000006</v>
      </c>
      <c r="I618" s="4">
        <v>75.72</v>
      </c>
      <c r="J618" s="4">
        <v>74.5</v>
      </c>
      <c r="K618" s="4">
        <v>779.1</v>
      </c>
      <c r="L618">
        <f t="shared" si="18"/>
        <v>2025</v>
      </c>
      <c r="M618">
        <f t="shared" si="19"/>
        <v>4</v>
      </c>
    </row>
    <row r="619" spans="1:13" ht="15" customHeight="1" x14ac:dyDescent="0.2">
      <c r="A619" s="3">
        <v>46003</v>
      </c>
      <c r="B619" t="s">
        <v>674</v>
      </c>
      <c r="C619" t="s">
        <v>90</v>
      </c>
      <c r="D619" t="s">
        <v>49</v>
      </c>
      <c r="E619" s="4">
        <v>339</v>
      </c>
      <c r="F619" s="4">
        <v>49.16</v>
      </c>
      <c r="G619" s="4">
        <v>292.24</v>
      </c>
      <c r="H619" s="4">
        <v>2.92</v>
      </c>
      <c r="I619" s="4">
        <v>23.38</v>
      </c>
      <c r="J619" s="4">
        <v>52.4</v>
      </c>
      <c r="K619" s="4">
        <v>211.14</v>
      </c>
      <c r="L619">
        <f t="shared" si="18"/>
        <v>2025</v>
      </c>
      <c r="M619">
        <f t="shared" si="19"/>
        <v>4</v>
      </c>
    </row>
    <row r="620" spans="1:13" ht="15" customHeight="1" x14ac:dyDescent="0.2">
      <c r="A620" s="3">
        <v>46003</v>
      </c>
      <c r="B620" t="s">
        <v>675</v>
      </c>
      <c r="C620" t="s">
        <v>90</v>
      </c>
      <c r="D620" t="s">
        <v>56</v>
      </c>
      <c r="E620" s="4">
        <v>339</v>
      </c>
      <c r="F620" s="4">
        <v>49.16</v>
      </c>
      <c r="G620" s="4">
        <v>292.24</v>
      </c>
      <c r="H620" s="4">
        <v>2.92</v>
      </c>
      <c r="I620" s="4">
        <v>23.38</v>
      </c>
      <c r="J620" s="4">
        <v>52.4</v>
      </c>
      <c r="K620" s="4">
        <v>211.14</v>
      </c>
      <c r="L620">
        <f t="shared" si="18"/>
        <v>2025</v>
      </c>
      <c r="M620">
        <f t="shared" si="19"/>
        <v>4</v>
      </c>
    </row>
    <row r="621" spans="1:13" ht="15" customHeight="1" x14ac:dyDescent="0.2">
      <c r="A621" s="3">
        <v>46003</v>
      </c>
      <c r="B621" t="s">
        <v>676</v>
      </c>
      <c r="C621" t="s">
        <v>31</v>
      </c>
      <c r="D621" t="s">
        <v>21</v>
      </c>
      <c r="E621" s="4">
        <v>1098</v>
      </c>
      <c r="F621" s="4">
        <v>159.21</v>
      </c>
      <c r="G621" s="4">
        <v>946.55</v>
      </c>
      <c r="H621" s="4">
        <v>9.4700000000000006</v>
      </c>
      <c r="I621" s="4">
        <v>75.72</v>
      </c>
      <c r="J621" s="4">
        <v>74.5</v>
      </c>
      <c r="K621" s="4">
        <v>779.1</v>
      </c>
      <c r="L621">
        <f t="shared" si="18"/>
        <v>2025</v>
      </c>
      <c r="M621">
        <f t="shared" si="19"/>
        <v>4</v>
      </c>
    </row>
    <row r="622" spans="1:13" ht="15" customHeight="1" x14ac:dyDescent="0.2">
      <c r="A622" s="3">
        <v>46006</v>
      </c>
      <c r="B622" t="s">
        <v>677</v>
      </c>
      <c r="C622" t="s">
        <v>31</v>
      </c>
      <c r="D622" t="s">
        <v>93</v>
      </c>
      <c r="E622" s="4">
        <v>1098</v>
      </c>
      <c r="F622" s="4">
        <v>159.21</v>
      </c>
      <c r="G622" s="4">
        <v>946.55</v>
      </c>
      <c r="H622" s="4">
        <v>9.4700000000000006</v>
      </c>
      <c r="I622" s="4">
        <v>75.72</v>
      </c>
      <c r="J622" s="4">
        <v>74.5</v>
      </c>
      <c r="K622" s="4">
        <v>779.1</v>
      </c>
      <c r="L622">
        <f t="shared" si="18"/>
        <v>2025</v>
      </c>
      <c r="M622">
        <f t="shared" si="19"/>
        <v>4</v>
      </c>
    </row>
    <row r="623" spans="1:13" ht="15" customHeight="1" x14ac:dyDescent="0.2">
      <c r="A623" s="3">
        <v>46006</v>
      </c>
      <c r="B623" t="s">
        <v>678</v>
      </c>
      <c r="C623" t="s">
        <v>31</v>
      </c>
      <c r="D623" t="s">
        <v>56</v>
      </c>
      <c r="E623" s="4">
        <v>1098</v>
      </c>
      <c r="F623" s="4">
        <v>159.21</v>
      </c>
      <c r="G623" s="4">
        <v>946.55</v>
      </c>
      <c r="H623" s="4">
        <v>9.4700000000000006</v>
      </c>
      <c r="I623" s="4">
        <v>75.72</v>
      </c>
      <c r="J623" s="4">
        <v>74.5</v>
      </c>
      <c r="K623" s="4">
        <v>779.1</v>
      </c>
      <c r="L623">
        <f t="shared" si="18"/>
        <v>2025</v>
      </c>
      <c r="M623">
        <f t="shared" si="19"/>
        <v>4</v>
      </c>
    </row>
    <row r="624" spans="1:13" ht="15" customHeight="1" x14ac:dyDescent="0.2">
      <c r="A624" s="3">
        <v>46006</v>
      </c>
      <c r="B624" t="s">
        <v>679</v>
      </c>
      <c r="C624" t="s">
        <v>31</v>
      </c>
      <c r="D624" t="s">
        <v>77</v>
      </c>
      <c r="E624" s="4">
        <v>1098</v>
      </c>
      <c r="F624" s="4">
        <v>159.21</v>
      </c>
      <c r="G624" s="4">
        <v>946.55</v>
      </c>
      <c r="H624" s="4">
        <v>9.4700000000000006</v>
      </c>
      <c r="I624" s="4">
        <v>75.72</v>
      </c>
      <c r="J624" s="4">
        <v>74.5</v>
      </c>
      <c r="K624" s="4">
        <v>779.1</v>
      </c>
      <c r="L624">
        <f t="shared" si="18"/>
        <v>2025</v>
      </c>
      <c r="M624">
        <f t="shared" si="19"/>
        <v>4</v>
      </c>
    </row>
    <row r="625" spans="1:13" ht="15" customHeight="1" x14ac:dyDescent="0.2">
      <c r="A625" s="3">
        <v>46006</v>
      </c>
      <c r="B625" t="s">
        <v>680</v>
      </c>
      <c r="C625" t="s">
        <v>90</v>
      </c>
      <c r="D625" t="s">
        <v>38</v>
      </c>
      <c r="E625" s="4">
        <v>322.05</v>
      </c>
      <c r="F625" s="4">
        <v>46.7</v>
      </c>
      <c r="G625" s="4">
        <v>277.63</v>
      </c>
      <c r="H625" s="4">
        <v>2.78</v>
      </c>
      <c r="I625" s="4">
        <v>22.21</v>
      </c>
      <c r="J625" s="4">
        <v>52.4</v>
      </c>
      <c r="K625" s="4">
        <v>197.97</v>
      </c>
      <c r="L625">
        <f t="shared" si="18"/>
        <v>2025</v>
      </c>
      <c r="M625">
        <f t="shared" si="19"/>
        <v>4</v>
      </c>
    </row>
    <row r="626" spans="1:13" ht="15" customHeight="1" x14ac:dyDescent="0.2">
      <c r="A626" s="3">
        <v>46006</v>
      </c>
      <c r="B626" t="s">
        <v>681</v>
      </c>
      <c r="C626" t="s">
        <v>31</v>
      </c>
      <c r="D626" t="s">
        <v>109</v>
      </c>
      <c r="E626" s="4">
        <v>1098</v>
      </c>
      <c r="F626" s="4">
        <v>159.21</v>
      </c>
      <c r="G626" s="4">
        <v>946.55</v>
      </c>
      <c r="H626" s="4">
        <v>9.4700000000000006</v>
      </c>
      <c r="I626" s="4">
        <v>75.72</v>
      </c>
      <c r="J626" s="4">
        <v>74.5</v>
      </c>
      <c r="K626" s="4">
        <v>779.1</v>
      </c>
      <c r="L626">
        <f t="shared" si="18"/>
        <v>2025</v>
      </c>
      <c r="M626">
        <f t="shared" si="19"/>
        <v>4</v>
      </c>
    </row>
    <row r="627" spans="1:13" ht="15" customHeight="1" x14ac:dyDescent="0.2">
      <c r="A627" s="3">
        <v>46006</v>
      </c>
      <c r="B627" t="s">
        <v>682</v>
      </c>
      <c r="C627" t="s">
        <v>31</v>
      </c>
      <c r="D627" t="s">
        <v>77</v>
      </c>
      <c r="E627" s="4">
        <v>322.05</v>
      </c>
      <c r="F627" s="4">
        <v>46.7</v>
      </c>
      <c r="G627" s="4">
        <v>277.63</v>
      </c>
      <c r="H627" s="4">
        <v>2.78</v>
      </c>
      <c r="I627" s="4">
        <v>22.21</v>
      </c>
      <c r="J627" s="4">
        <v>52.4</v>
      </c>
      <c r="K627" s="4">
        <v>197.97</v>
      </c>
      <c r="L627">
        <f t="shared" si="18"/>
        <v>2025</v>
      </c>
      <c r="M627">
        <f t="shared" si="19"/>
        <v>4</v>
      </c>
    </row>
    <row r="628" spans="1:13" ht="15" customHeight="1" x14ac:dyDescent="0.2">
      <c r="A628" s="3">
        <v>46007</v>
      </c>
      <c r="B628" t="s">
        <v>683</v>
      </c>
      <c r="C628" t="s">
        <v>31</v>
      </c>
      <c r="D628" t="s">
        <v>93</v>
      </c>
      <c r="E628" s="4">
        <v>1098</v>
      </c>
      <c r="F628" s="4">
        <v>159.21</v>
      </c>
      <c r="G628" s="4">
        <v>946.55</v>
      </c>
      <c r="H628" s="4">
        <v>9.4700000000000006</v>
      </c>
      <c r="I628" s="4">
        <v>75.72</v>
      </c>
      <c r="J628" s="4">
        <v>74.5</v>
      </c>
      <c r="K628" s="4">
        <v>779.1</v>
      </c>
      <c r="L628">
        <f t="shared" si="18"/>
        <v>2025</v>
      </c>
      <c r="M628">
        <f t="shared" si="19"/>
        <v>4</v>
      </c>
    </row>
    <row r="629" spans="1:13" ht="15" customHeight="1" x14ac:dyDescent="0.2">
      <c r="A629" s="3">
        <v>46008</v>
      </c>
      <c r="B629" t="s">
        <v>684</v>
      </c>
      <c r="C629" t="s">
        <v>90</v>
      </c>
      <c r="D629" t="s">
        <v>77</v>
      </c>
      <c r="E629" s="4">
        <v>322.05</v>
      </c>
      <c r="F629" s="4">
        <v>46.7</v>
      </c>
      <c r="G629" s="4">
        <v>277.63</v>
      </c>
      <c r="H629" s="4">
        <v>2.78</v>
      </c>
      <c r="I629" s="4">
        <v>22.21</v>
      </c>
      <c r="J629" s="4">
        <v>52.4</v>
      </c>
      <c r="K629" s="4">
        <v>197.97</v>
      </c>
      <c r="L629">
        <f t="shared" si="18"/>
        <v>2025</v>
      </c>
      <c r="M629">
        <f t="shared" si="19"/>
        <v>4</v>
      </c>
    </row>
    <row r="630" spans="1:13" ht="15" customHeight="1" x14ac:dyDescent="0.2">
      <c r="A630" s="3">
        <v>46008</v>
      </c>
      <c r="B630" t="s">
        <v>685</v>
      </c>
      <c r="C630" t="s">
        <v>90</v>
      </c>
      <c r="D630" t="s">
        <v>314</v>
      </c>
      <c r="E630" s="4">
        <v>305.10000000000002</v>
      </c>
      <c r="F630" s="4">
        <v>44.24</v>
      </c>
      <c r="G630" s="4">
        <v>263.02</v>
      </c>
      <c r="H630" s="4">
        <v>2.63</v>
      </c>
      <c r="I630" s="4">
        <v>21.04</v>
      </c>
      <c r="J630" s="4">
        <v>52.4</v>
      </c>
      <c r="K630" s="4">
        <v>184.79</v>
      </c>
      <c r="L630">
        <f t="shared" si="18"/>
        <v>2025</v>
      </c>
      <c r="M630">
        <f t="shared" si="19"/>
        <v>4</v>
      </c>
    </row>
    <row r="631" spans="1:13" ht="15" customHeight="1" x14ac:dyDescent="0.2">
      <c r="A631" s="3">
        <v>46010</v>
      </c>
      <c r="B631" t="s">
        <v>686</v>
      </c>
      <c r="C631" t="s">
        <v>31</v>
      </c>
      <c r="D631" t="s">
        <v>35</v>
      </c>
      <c r="E631" s="4">
        <v>1085</v>
      </c>
      <c r="F631" s="4">
        <v>157.33000000000001</v>
      </c>
      <c r="G631" s="4">
        <v>935.34</v>
      </c>
      <c r="H631" s="4">
        <v>9.35</v>
      </c>
      <c r="I631" s="4">
        <v>74.83</v>
      </c>
      <c r="J631" s="4">
        <v>74.5</v>
      </c>
      <c r="K631" s="4">
        <v>768.99</v>
      </c>
      <c r="L631">
        <f t="shared" si="18"/>
        <v>2025</v>
      </c>
      <c r="M631">
        <f t="shared" si="19"/>
        <v>4</v>
      </c>
    </row>
    <row r="632" spans="1:13" ht="15" customHeight="1" x14ac:dyDescent="0.2">
      <c r="A632" s="3">
        <v>46013</v>
      </c>
      <c r="B632" t="s">
        <v>687</v>
      </c>
      <c r="C632" t="s">
        <v>688</v>
      </c>
      <c r="D632" t="s">
        <v>49</v>
      </c>
      <c r="E632" s="4">
        <v>662.02</v>
      </c>
      <c r="F632" s="4">
        <v>129.09</v>
      </c>
      <c r="G632" s="4">
        <v>570.71</v>
      </c>
      <c r="H632" s="4">
        <v>5.71</v>
      </c>
      <c r="I632" s="4">
        <v>45.66</v>
      </c>
      <c r="J632" s="4">
        <v>103</v>
      </c>
      <c r="K632" s="4">
        <v>378.56</v>
      </c>
      <c r="L632">
        <f t="shared" si="18"/>
        <v>2025</v>
      </c>
      <c r="M632">
        <f t="shared" si="19"/>
        <v>4</v>
      </c>
    </row>
    <row r="633" spans="1:13" ht="15" customHeight="1" x14ac:dyDescent="0.2">
      <c r="A633" s="3">
        <v>46013</v>
      </c>
      <c r="B633" t="s">
        <v>689</v>
      </c>
      <c r="C633" t="s">
        <v>690</v>
      </c>
      <c r="D633" t="s">
        <v>93</v>
      </c>
      <c r="E633" s="4">
        <v>169.98</v>
      </c>
      <c r="F633" s="4">
        <v>83.14</v>
      </c>
      <c r="G633" s="4">
        <v>146.53</v>
      </c>
      <c r="H633" s="4">
        <v>1.47</v>
      </c>
      <c r="I633" s="4">
        <v>11.72</v>
      </c>
      <c r="J633" s="4">
        <v>0</v>
      </c>
      <c r="K633" s="4">
        <v>73.650000000000006</v>
      </c>
      <c r="L633">
        <f t="shared" si="18"/>
        <v>2025</v>
      </c>
      <c r="M633">
        <f t="shared" si="19"/>
        <v>4</v>
      </c>
    </row>
    <row r="634" spans="1:13" ht="15" customHeight="1" x14ac:dyDescent="0.2">
      <c r="A634" s="3">
        <v>46013</v>
      </c>
      <c r="B634" t="s">
        <v>691</v>
      </c>
      <c r="C634" t="s">
        <v>515</v>
      </c>
      <c r="D634" t="s">
        <v>38</v>
      </c>
      <c r="E634" s="4">
        <v>379.27</v>
      </c>
      <c r="F634" s="4">
        <v>73.959999999999994</v>
      </c>
      <c r="G634" s="4">
        <v>326.95999999999998</v>
      </c>
      <c r="H634" s="4">
        <v>3.27</v>
      </c>
      <c r="I634" s="4">
        <v>26.16</v>
      </c>
      <c r="J634" s="4">
        <v>67.599999999999994</v>
      </c>
      <c r="K634" s="4">
        <v>208.29</v>
      </c>
      <c r="L634">
        <f t="shared" si="18"/>
        <v>2025</v>
      </c>
      <c r="M634">
        <f t="shared" si="19"/>
        <v>4</v>
      </c>
    </row>
    <row r="635" spans="1:13" ht="15" customHeight="1" x14ac:dyDescent="0.2">
      <c r="A635" s="3">
        <v>46014</v>
      </c>
      <c r="B635" t="s">
        <v>692</v>
      </c>
      <c r="C635" t="s">
        <v>52</v>
      </c>
      <c r="D635" t="s">
        <v>93</v>
      </c>
      <c r="E635" s="4">
        <v>309.95</v>
      </c>
      <c r="F635" s="4">
        <v>60.44</v>
      </c>
      <c r="G635" s="4">
        <v>267.2</v>
      </c>
      <c r="H635" s="4">
        <v>2.67</v>
      </c>
      <c r="I635" s="4">
        <v>21.38</v>
      </c>
      <c r="J635" s="4">
        <v>67.599999999999994</v>
      </c>
      <c r="K635" s="4">
        <v>157.86000000000001</v>
      </c>
      <c r="L635">
        <f t="shared" si="18"/>
        <v>2025</v>
      </c>
      <c r="M635">
        <f t="shared" si="19"/>
        <v>4</v>
      </c>
    </row>
    <row r="636" spans="1:13" ht="15" customHeight="1" x14ac:dyDescent="0.2">
      <c r="A636" s="3">
        <v>46014</v>
      </c>
      <c r="B636" t="s">
        <v>693</v>
      </c>
      <c r="C636" t="s">
        <v>90</v>
      </c>
      <c r="D636" t="s">
        <v>189</v>
      </c>
      <c r="E636" s="4">
        <v>305.10000000000002</v>
      </c>
      <c r="F636" s="4">
        <v>44.24</v>
      </c>
      <c r="G636" s="4">
        <v>263.02</v>
      </c>
      <c r="H636" s="4">
        <v>2.63</v>
      </c>
      <c r="I636" s="4">
        <v>21.04</v>
      </c>
      <c r="J636" s="4">
        <v>52.4</v>
      </c>
      <c r="K636" s="4">
        <v>184.79</v>
      </c>
      <c r="L636">
        <f t="shared" si="18"/>
        <v>2025</v>
      </c>
      <c r="M636">
        <f t="shared" si="19"/>
        <v>4</v>
      </c>
    </row>
    <row r="637" spans="1:13" ht="15" customHeight="1" x14ac:dyDescent="0.2">
      <c r="A637" s="3">
        <v>46014</v>
      </c>
      <c r="B637" t="s">
        <v>694</v>
      </c>
      <c r="C637" t="s">
        <v>580</v>
      </c>
      <c r="D637" t="s">
        <v>29</v>
      </c>
      <c r="E637" s="4">
        <v>566.37</v>
      </c>
      <c r="F637" s="4">
        <v>110.44</v>
      </c>
      <c r="G637" s="4">
        <v>488.25</v>
      </c>
      <c r="H637" s="4">
        <v>4.88</v>
      </c>
      <c r="I637" s="4">
        <v>39.06</v>
      </c>
      <c r="J637" s="4">
        <v>103</v>
      </c>
      <c r="K637" s="4">
        <v>308.99</v>
      </c>
      <c r="L637">
        <f t="shared" si="18"/>
        <v>2025</v>
      </c>
      <c r="M637">
        <f t="shared" si="19"/>
        <v>4</v>
      </c>
    </row>
    <row r="638" spans="1:13" ht="15" customHeight="1" x14ac:dyDescent="0.2">
      <c r="A638" s="3">
        <v>46015</v>
      </c>
      <c r="B638" t="s">
        <v>695</v>
      </c>
      <c r="C638" t="s">
        <v>67</v>
      </c>
      <c r="D638" t="s">
        <v>77</v>
      </c>
      <c r="E638" s="4">
        <v>1499</v>
      </c>
      <c r="F638" s="4">
        <v>217.36</v>
      </c>
      <c r="G638" s="4">
        <v>1292.24</v>
      </c>
      <c r="H638" s="4">
        <v>12.92</v>
      </c>
      <c r="I638" s="4">
        <v>103.38</v>
      </c>
      <c r="J638" s="4">
        <v>74.5</v>
      </c>
      <c r="K638" s="4">
        <v>1090.8399999999999</v>
      </c>
      <c r="L638">
        <f t="shared" si="18"/>
        <v>2025</v>
      </c>
      <c r="M638">
        <f t="shared" si="19"/>
        <v>4</v>
      </c>
    </row>
    <row r="639" spans="1:13" ht="15" customHeight="1" x14ac:dyDescent="0.2">
      <c r="A639" s="3">
        <v>46015</v>
      </c>
      <c r="B639" t="s">
        <v>696</v>
      </c>
      <c r="C639" t="s">
        <v>31</v>
      </c>
      <c r="D639" t="s">
        <v>85</v>
      </c>
      <c r="E639" s="4">
        <v>1085</v>
      </c>
      <c r="F639" s="4">
        <v>157.33000000000001</v>
      </c>
      <c r="G639" s="4">
        <v>935.34</v>
      </c>
      <c r="H639" s="4">
        <v>9.35</v>
      </c>
      <c r="I639" s="4">
        <v>74.83</v>
      </c>
      <c r="J639" s="4">
        <v>74.5</v>
      </c>
      <c r="K639" s="4">
        <v>768.99</v>
      </c>
      <c r="L639">
        <f t="shared" si="18"/>
        <v>2025</v>
      </c>
      <c r="M639">
        <f t="shared" si="19"/>
        <v>4</v>
      </c>
    </row>
    <row r="640" spans="1:13" ht="15" customHeight="1" x14ac:dyDescent="0.2">
      <c r="A640" s="3">
        <v>46016</v>
      </c>
      <c r="B640" t="s">
        <v>697</v>
      </c>
      <c r="C640" t="s">
        <v>31</v>
      </c>
      <c r="D640" t="s">
        <v>215</v>
      </c>
      <c r="E640" s="4">
        <v>1085</v>
      </c>
      <c r="F640" s="4">
        <v>157.33000000000001</v>
      </c>
      <c r="G640" s="4">
        <v>935.34</v>
      </c>
      <c r="H640" s="4">
        <v>9.35</v>
      </c>
      <c r="I640" s="4">
        <v>74.83</v>
      </c>
      <c r="J640" s="4">
        <v>74.5</v>
      </c>
      <c r="K640" s="4">
        <v>768.99</v>
      </c>
      <c r="L640">
        <f t="shared" si="18"/>
        <v>2025</v>
      </c>
      <c r="M640">
        <f t="shared" si="19"/>
        <v>4</v>
      </c>
    </row>
    <row r="641" spans="1:13" ht="15" customHeight="1" x14ac:dyDescent="0.2">
      <c r="A641" s="3">
        <v>46016</v>
      </c>
      <c r="B641" t="s">
        <v>698</v>
      </c>
      <c r="C641" t="s">
        <v>31</v>
      </c>
      <c r="D641" t="s">
        <v>77</v>
      </c>
      <c r="E641" s="4">
        <v>1085</v>
      </c>
      <c r="F641" s="4">
        <v>157.33000000000001</v>
      </c>
      <c r="G641" s="4">
        <v>935.34</v>
      </c>
      <c r="H641" s="4">
        <v>9.35</v>
      </c>
      <c r="I641" s="4">
        <v>74.83</v>
      </c>
      <c r="J641" s="4">
        <v>74.5</v>
      </c>
      <c r="K641" s="4">
        <v>768.99</v>
      </c>
      <c r="L641">
        <f t="shared" si="18"/>
        <v>2025</v>
      </c>
      <c r="M641">
        <f t="shared" si="19"/>
        <v>4</v>
      </c>
    </row>
    <row r="642" spans="1:13" ht="15" customHeight="1" x14ac:dyDescent="0.2">
      <c r="A642" s="3">
        <v>46020</v>
      </c>
      <c r="B642" t="s">
        <v>699</v>
      </c>
      <c r="C642" t="s">
        <v>165</v>
      </c>
      <c r="D642" t="s">
        <v>93</v>
      </c>
      <c r="E642" s="4">
        <v>364.35</v>
      </c>
      <c r="F642" s="4">
        <v>52.83</v>
      </c>
      <c r="G642" s="4">
        <v>314.08999999999997</v>
      </c>
      <c r="H642" s="4">
        <v>3.14</v>
      </c>
      <c r="I642" s="4">
        <v>25.13</v>
      </c>
      <c r="J642" s="4">
        <v>67.599999999999994</v>
      </c>
      <c r="K642" s="4">
        <v>215.65</v>
      </c>
      <c r="L642">
        <f t="shared" ref="L642:L705" si="20">YEAR(A642)</f>
        <v>2025</v>
      </c>
      <c r="M642">
        <f t="shared" ref="M642:M705" si="21">ROUNDUP(MONTH(A642)/3,0)</f>
        <v>4</v>
      </c>
    </row>
    <row r="643" spans="1:13" ht="15" customHeight="1" x14ac:dyDescent="0.2">
      <c r="A643" s="3">
        <v>46020</v>
      </c>
      <c r="B643" t="s">
        <v>700</v>
      </c>
      <c r="C643" t="s">
        <v>113</v>
      </c>
      <c r="D643" t="s">
        <v>38</v>
      </c>
      <c r="E643" s="4">
        <v>312.5</v>
      </c>
      <c r="F643" s="4">
        <v>60.94</v>
      </c>
      <c r="G643" s="4">
        <v>269.39999999999998</v>
      </c>
      <c r="H643" s="4">
        <v>2.69</v>
      </c>
      <c r="I643" s="4">
        <v>21.55</v>
      </c>
      <c r="J643" s="4">
        <v>76</v>
      </c>
      <c r="K643" s="4">
        <v>151.32</v>
      </c>
      <c r="L643">
        <f t="shared" si="20"/>
        <v>2025</v>
      </c>
      <c r="M643">
        <f t="shared" si="21"/>
        <v>4</v>
      </c>
    </row>
    <row r="644" spans="1:13" ht="15" customHeight="1" x14ac:dyDescent="0.2">
      <c r="A644" s="3">
        <v>46020</v>
      </c>
      <c r="B644" t="s">
        <v>700</v>
      </c>
      <c r="C644" t="s">
        <v>92</v>
      </c>
      <c r="D644" t="s">
        <v>38</v>
      </c>
      <c r="E644" s="4">
        <v>312.5</v>
      </c>
      <c r="F644" s="4">
        <v>60.94</v>
      </c>
      <c r="G644" s="4">
        <v>269.39999999999998</v>
      </c>
      <c r="H644" s="4">
        <v>2.69</v>
      </c>
      <c r="I644" s="4">
        <v>21.55</v>
      </c>
      <c r="J644" s="4">
        <v>76</v>
      </c>
      <c r="K644" s="4">
        <v>151.32</v>
      </c>
      <c r="L644">
        <f t="shared" si="20"/>
        <v>2025</v>
      </c>
      <c r="M644">
        <f t="shared" si="21"/>
        <v>4</v>
      </c>
    </row>
    <row r="645" spans="1:13" ht="15" customHeight="1" x14ac:dyDescent="0.2">
      <c r="A645" s="3">
        <v>46020</v>
      </c>
      <c r="B645" t="s">
        <v>700</v>
      </c>
      <c r="C645" t="s">
        <v>123</v>
      </c>
      <c r="D645" t="s">
        <v>38</v>
      </c>
      <c r="E645" s="4">
        <v>312.5</v>
      </c>
      <c r="F645" s="4">
        <v>60.94</v>
      </c>
      <c r="G645" s="4">
        <v>269.39999999999998</v>
      </c>
      <c r="H645" s="4">
        <v>2.69</v>
      </c>
      <c r="I645" s="4">
        <v>21.55</v>
      </c>
      <c r="J645" s="4">
        <v>76</v>
      </c>
      <c r="K645" s="4">
        <v>151.32</v>
      </c>
      <c r="L645">
        <f t="shared" si="20"/>
        <v>2025</v>
      </c>
      <c r="M645">
        <f t="shared" si="21"/>
        <v>4</v>
      </c>
    </row>
    <row r="646" spans="1:13" ht="15" customHeight="1" x14ac:dyDescent="0.2">
      <c r="A646" s="3">
        <v>46020</v>
      </c>
      <c r="B646" t="s">
        <v>700</v>
      </c>
      <c r="C646" t="s">
        <v>52</v>
      </c>
      <c r="D646" t="s">
        <v>38</v>
      </c>
      <c r="E646" s="4">
        <v>312.5</v>
      </c>
      <c r="F646" s="4">
        <v>60.94</v>
      </c>
      <c r="G646" s="4">
        <v>269.39999999999998</v>
      </c>
      <c r="H646" s="4">
        <v>2.69</v>
      </c>
      <c r="I646" s="4">
        <v>21.55</v>
      </c>
      <c r="J646" s="4">
        <v>76</v>
      </c>
      <c r="K646" s="4">
        <v>151.32</v>
      </c>
      <c r="L646">
        <f t="shared" si="20"/>
        <v>2025</v>
      </c>
      <c r="M646">
        <f t="shared" si="21"/>
        <v>4</v>
      </c>
    </row>
    <row r="647" spans="1:13" ht="15" customHeight="1" x14ac:dyDescent="0.2">
      <c r="A647" s="3">
        <v>46020</v>
      </c>
      <c r="B647" t="s">
        <v>701</v>
      </c>
      <c r="C647" t="s">
        <v>31</v>
      </c>
      <c r="D647" t="s">
        <v>27</v>
      </c>
      <c r="E647" s="4">
        <v>1085</v>
      </c>
      <c r="F647" s="4">
        <v>157.33000000000001</v>
      </c>
      <c r="G647" s="4">
        <v>935.34</v>
      </c>
      <c r="H647" s="4">
        <v>9.35</v>
      </c>
      <c r="I647" s="4">
        <v>74.83</v>
      </c>
      <c r="J647" s="4">
        <v>74.5</v>
      </c>
      <c r="K647" s="4">
        <v>768.99</v>
      </c>
      <c r="L647">
        <f t="shared" si="20"/>
        <v>2025</v>
      </c>
      <c r="M647">
        <f t="shared" si="21"/>
        <v>4</v>
      </c>
    </row>
    <row r="648" spans="1:13" ht="15" customHeight="1" x14ac:dyDescent="0.2">
      <c r="A648" s="3">
        <v>46023</v>
      </c>
      <c r="B648" t="s">
        <v>702</v>
      </c>
      <c r="C648" t="s">
        <v>90</v>
      </c>
      <c r="D648" t="s">
        <v>77</v>
      </c>
      <c r="E648" s="4">
        <v>308.49</v>
      </c>
      <c r="F648" s="4">
        <v>44.73</v>
      </c>
      <c r="G648" s="4">
        <v>265.94</v>
      </c>
      <c r="H648" s="4">
        <v>6.65</v>
      </c>
      <c r="I648" s="4">
        <v>21.28</v>
      </c>
      <c r="J648" s="4">
        <v>52.4</v>
      </c>
      <c r="K648" s="4">
        <v>183.44</v>
      </c>
      <c r="L648">
        <f t="shared" si="20"/>
        <v>2026</v>
      </c>
      <c r="M648">
        <f t="shared" si="21"/>
        <v>1</v>
      </c>
    </row>
    <row r="649" spans="1:13" ht="15" customHeight="1" x14ac:dyDescent="0.2">
      <c r="A649" s="3">
        <v>46024</v>
      </c>
      <c r="B649" t="s">
        <v>703</v>
      </c>
      <c r="C649" t="s">
        <v>704</v>
      </c>
      <c r="D649" t="s">
        <v>232</v>
      </c>
      <c r="E649" s="4">
        <v>579.44000000000005</v>
      </c>
      <c r="F649" s="4">
        <v>112.99</v>
      </c>
      <c r="G649" s="4">
        <v>499.52</v>
      </c>
      <c r="H649" s="4">
        <v>12.49</v>
      </c>
      <c r="I649" s="4">
        <v>39.96</v>
      </c>
      <c r="J649" s="4">
        <v>95</v>
      </c>
      <c r="K649" s="4">
        <v>319</v>
      </c>
      <c r="L649">
        <f t="shared" si="20"/>
        <v>2026</v>
      </c>
      <c r="M649">
        <f t="shared" si="21"/>
        <v>1</v>
      </c>
    </row>
    <row r="650" spans="1:13" ht="15" customHeight="1" x14ac:dyDescent="0.2">
      <c r="A650" s="3">
        <v>46025</v>
      </c>
      <c r="B650" t="s">
        <v>705</v>
      </c>
      <c r="C650" t="s">
        <v>31</v>
      </c>
      <c r="D650" t="s">
        <v>42</v>
      </c>
      <c r="E650" s="4">
        <v>1068</v>
      </c>
      <c r="F650" s="4">
        <v>154.86000000000001</v>
      </c>
      <c r="G650" s="4">
        <v>920.69</v>
      </c>
      <c r="H650" s="4">
        <v>23.02</v>
      </c>
      <c r="I650" s="4">
        <v>73.66</v>
      </c>
      <c r="J650" s="4">
        <v>74.5</v>
      </c>
      <c r="K650" s="4">
        <v>741.97</v>
      </c>
      <c r="L650">
        <f t="shared" si="20"/>
        <v>2026</v>
      </c>
      <c r="M650">
        <f t="shared" si="21"/>
        <v>1</v>
      </c>
    </row>
    <row r="651" spans="1:13" ht="15" customHeight="1" x14ac:dyDescent="0.2">
      <c r="A651" s="3">
        <v>46027</v>
      </c>
      <c r="B651" t="s">
        <v>706</v>
      </c>
      <c r="C651" t="s">
        <v>67</v>
      </c>
      <c r="D651" t="s">
        <v>27</v>
      </c>
      <c r="E651" s="4">
        <v>1499</v>
      </c>
      <c r="F651" s="4">
        <v>217.36</v>
      </c>
      <c r="G651" s="4">
        <v>1292.24</v>
      </c>
      <c r="H651" s="4">
        <v>32.31</v>
      </c>
      <c r="I651" s="4">
        <v>103.38</v>
      </c>
      <c r="J651" s="4">
        <v>74.5</v>
      </c>
      <c r="K651" s="4">
        <v>1071.46</v>
      </c>
      <c r="L651">
        <f t="shared" si="20"/>
        <v>2026</v>
      </c>
      <c r="M651">
        <f t="shared" si="21"/>
        <v>1</v>
      </c>
    </row>
    <row r="652" spans="1:13" ht="15" customHeight="1" x14ac:dyDescent="0.2">
      <c r="A652" s="3">
        <v>46027</v>
      </c>
      <c r="B652" t="s">
        <v>707</v>
      </c>
      <c r="C652" t="s">
        <v>31</v>
      </c>
      <c r="D652" t="s">
        <v>35</v>
      </c>
      <c r="E652" s="4">
        <v>1068</v>
      </c>
      <c r="F652" s="4">
        <v>154.86000000000001</v>
      </c>
      <c r="G652" s="4">
        <v>920.69</v>
      </c>
      <c r="H652" s="4">
        <v>23.02</v>
      </c>
      <c r="I652" s="4">
        <v>73.66</v>
      </c>
      <c r="J652" s="4">
        <v>74.5</v>
      </c>
      <c r="K652" s="4">
        <v>741.97</v>
      </c>
      <c r="L652">
        <f t="shared" si="20"/>
        <v>2026</v>
      </c>
      <c r="M652">
        <f t="shared" si="21"/>
        <v>1</v>
      </c>
    </row>
    <row r="653" spans="1:13" ht="15" customHeight="1" x14ac:dyDescent="0.2">
      <c r="A653" s="3">
        <v>46028</v>
      </c>
      <c r="B653" t="s">
        <v>708</v>
      </c>
      <c r="C653" t="s">
        <v>67</v>
      </c>
      <c r="D653" t="s">
        <v>93</v>
      </c>
      <c r="E653" s="4">
        <v>1499</v>
      </c>
      <c r="F653" s="4">
        <v>217.36</v>
      </c>
      <c r="G653" s="4">
        <v>1292.24</v>
      </c>
      <c r="H653" s="4">
        <v>32.31</v>
      </c>
      <c r="I653" s="4">
        <v>103.38</v>
      </c>
      <c r="J653" s="4">
        <v>74.5</v>
      </c>
      <c r="K653" s="4">
        <v>1071.46</v>
      </c>
      <c r="L653">
        <f t="shared" si="20"/>
        <v>2026</v>
      </c>
      <c r="M653">
        <f t="shared" si="21"/>
        <v>1</v>
      </c>
    </row>
    <row r="654" spans="1:13" ht="15" customHeight="1" x14ac:dyDescent="0.2">
      <c r="A654" s="3">
        <v>46028</v>
      </c>
      <c r="B654" t="s">
        <v>709</v>
      </c>
      <c r="C654" t="s">
        <v>90</v>
      </c>
      <c r="D654" t="s">
        <v>93</v>
      </c>
      <c r="E654" s="4">
        <v>308.49</v>
      </c>
      <c r="F654" s="4">
        <v>44.73</v>
      </c>
      <c r="G654" s="4">
        <v>265.94</v>
      </c>
      <c r="H654" s="4">
        <v>6.65</v>
      </c>
      <c r="I654" s="4">
        <v>21.28</v>
      </c>
      <c r="J654" s="4">
        <v>52.4</v>
      </c>
      <c r="K654" s="4">
        <v>183.44</v>
      </c>
      <c r="L654">
        <f t="shared" si="20"/>
        <v>2026</v>
      </c>
      <c r="M654">
        <f t="shared" si="21"/>
        <v>1</v>
      </c>
    </row>
    <row r="655" spans="1:13" ht="15" customHeight="1" x14ac:dyDescent="0.2">
      <c r="A655" s="3">
        <v>46029</v>
      </c>
      <c r="B655" t="s">
        <v>710</v>
      </c>
      <c r="C655" t="s">
        <v>711</v>
      </c>
      <c r="D655" t="s">
        <v>38</v>
      </c>
      <c r="E655" s="4">
        <v>379.27</v>
      </c>
      <c r="F655" s="4">
        <v>73.959999999999994</v>
      </c>
      <c r="G655" s="4">
        <v>326.95999999999998</v>
      </c>
      <c r="H655" s="4">
        <v>8.17</v>
      </c>
      <c r="I655" s="4">
        <v>26.16</v>
      </c>
      <c r="J655" s="4">
        <v>82.4</v>
      </c>
      <c r="K655" s="4">
        <v>188.58</v>
      </c>
      <c r="L655">
        <f t="shared" si="20"/>
        <v>2026</v>
      </c>
      <c r="M655">
        <f t="shared" si="21"/>
        <v>1</v>
      </c>
    </row>
    <row r="656" spans="1:13" ht="15" customHeight="1" x14ac:dyDescent="0.2">
      <c r="A656" s="3">
        <v>46030</v>
      </c>
      <c r="B656" t="s">
        <v>712</v>
      </c>
      <c r="C656" t="s">
        <v>31</v>
      </c>
      <c r="D656" t="s">
        <v>232</v>
      </c>
      <c r="E656" s="4">
        <v>1068</v>
      </c>
      <c r="F656" s="4">
        <v>154.86000000000001</v>
      </c>
      <c r="G656" s="4">
        <v>920.69</v>
      </c>
      <c r="H656" s="4">
        <v>23.02</v>
      </c>
      <c r="I656" s="4">
        <v>73.66</v>
      </c>
      <c r="J656" s="4">
        <v>74.5</v>
      </c>
      <c r="K656" s="4">
        <v>741.97</v>
      </c>
      <c r="L656">
        <f t="shared" si="20"/>
        <v>2026</v>
      </c>
      <c r="M656">
        <f t="shared" si="21"/>
        <v>1</v>
      </c>
    </row>
    <row r="657" spans="1:13" ht="15" customHeight="1" x14ac:dyDescent="0.2">
      <c r="A657" s="3">
        <v>46030</v>
      </c>
      <c r="B657" t="s">
        <v>713</v>
      </c>
      <c r="C657" t="s">
        <v>115</v>
      </c>
      <c r="D657" t="s">
        <v>29</v>
      </c>
      <c r="E657" s="4">
        <v>1699</v>
      </c>
      <c r="F657" s="4">
        <v>169.9</v>
      </c>
      <c r="G657" s="4">
        <v>1464.66</v>
      </c>
      <c r="H657" s="4">
        <v>36.619999999999997</v>
      </c>
      <c r="I657" s="4">
        <v>117.17</v>
      </c>
      <c r="J657" s="4">
        <v>74.5</v>
      </c>
      <c r="K657" s="4">
        <v>1300.81</v>
      </c>
      <c r="L657">
        <f t="shared" si="20"/>
        <v>2026</v>
      </c>
      <c r="M657">
        <f t="shared" si="21"/>
        <v>1</v>
      </c>
    </row>
    <row r="658" spans="1:13" ht="15" customHeight="1" x14ac:dyDescent="0.2">
      <c r="A658" s="3">
        <v>46031</v>
      </c>
      <c r="B658" t="s">
        <v>714</v>
      </c>
      <c r="C658" t="s">
        <v>515</v>
      </c>
      <c r="D658" t="s">
        <v>40</v>
      </c>
      <c r="E658" s="4">
        <v>379.27</v>
      </c>
      <c r="F658" s="4">
        <v>56.89</v>
      </c>
      <c r="G658" s="4">
        <v>326.95999999999998</v>
      </c>
      <c r="H658" s="4">
        <v>8.17</v>
      </c>
      <c r="I658" s="4">
        <v>26.16</v>
      </c>
      <c r="J658" s="4">
        <v>67.599999999999994</v>
      </c>
      <c r="K658" s="4">
        <v>220.45</v>
      </c>
      <c r="L658">
        <f t="shared" si="20"/>
        <v>2026</v>
      </c>
      <c r="M658">
        <f t="shared" si="21"/>
        <v>1</v>
      </c>
    </row>
    <row r="659" spans="1:13" ht="15" customHeight="1" x14ac:dyDescent="0.2">
      <c r="A659" s="3">
        <v>46031</v>
      </c>
      <c r="B659" t="s">
        <v>715</v>
      </c>
      <c r="C659" t="s">
        <v>67</v>
      </c>
      <c r="D659" t="s">
        <v>38</v>
      </c>
      <c r="E659" s="4">
        <v>1499</v>
      </c>
      <c r="F659" s="4">
        <v>149.9</v>
      </c>
      <c r="G659" s="4">
        <v>1292.24</v>
      </c>
      <c r="H659" s="4">
        <v>32.31</v>
      </c>
      <c r="I659" s="4">
        <v>103.38</v>
      </c>
      <c r="J659" s="4">
        <v>74.5</v>
      </c>
      <c r="K659" s="4">
        <v>1138.9100000000001</v>
      </c>
      <c r="L659">
        <f t="shared" si="20"/>
        <v>2026</v>
      </c>
      <c r="M659">
        <f t="shared" si="21"/>
        <v>1</v>
      </c>
    </row>
    <row r="660" spans="1:13" ht="15" customHeight="1" x14ac:dyDescent="0.2">
      <c r="A660" s="3">
        <v>46032</v>
      </c>
      <c r="B660" t="s">
        <v>716</v>
      </c>
      <c r="C660" t="s">
        <v>31</v>
      </c>
      <c r="D660" t="s">
        <v>35</v>
      </c>
      <c r="E660" s="4">
        <v>1068</v>
      </c>
      <c r="F660" s="4">
        <v>154.86000000000001</v>
      </c>
      <c r="G660" s="4">
        <v>920.69</v>
      </c>
      <c r="H660" s="4">
        <v>23.02</v>
      </c>
      <c r="I660" s="4">
        <v>73.66</v>
      </c>
      <c r="J660" s="4">
        <v>74.5</v>
      </c>
      <c r="K660" s="4">
        <v>741.97</v>
      </c>
      <c r="L660">
        <f t="shared" si="20"/>
        <v>2026</v>
      </c>
      <c r="M660">
        <f t="shared" si="21"/>
        <v>1</v>
      </c>
    </row>
    <row r="661" spans="1:13" ht="15" customHeight="1" x14ac:dyDescent="0.2">
      <c r="A661" s="3">
        <v>46033</v>
      </c>
      <c r="B661" t="s">
        <v>717</v>
      </c>
      <c r="C661" t="s">
        <v>31</v>
      </c>
      <c r="D661" t="s">
        <v>140</v>
      </c>
      <c r="E661" s="4">
        <v>1079.0999999999999</v>
      </c>
      <c r="F661" s="4">
        <v>107.91</v>
      </c>
      <c r="G661" s="4">
        <v>930.26</v>
      </c>
      <c r="H661" s="4">
        <v>23.26</v>
      </c>
      <c r="I661" s="4">
        <v>74.42</v>
      </c>
      <c r="J661" s="4">
        <v>74.5</v>
      </c>
      <c r="K661" s="4">
        <v>799.01</v>
      </c>
      <c r="L661">
        <f t="shared" si="20"/>
        <v>2026</v>
      </c>
      <c r="M661">
        <f t="shared" si="21"/>
        <v>1</v>
      </c>
    </row>
    <row r="662" spans="1:13" ht="15" customHeight="1" x14ac:dyDescent="0.2">
      <c r="A662" s="3">
        <v>46033</v>
      </c>
      <c r="B662" t="s">
        <v>718</v>
      </c>
      <c r="C662" t="s">
        <v>333</v>
      </c>
      <c r="D662" t="s">
        <v>29</v>
      </c>
      <c r="E662" s="4">
        <v>357.97</v>
      </c>
      <c r="F662" s="4">
        <v>51.91</v>
      </c>
      <c r="G662" s="4">
        <v>308.58999999999997</v>
      </c>
      <c r="H662" s="4">
        <v>7.71</v>
      </c>
      <c r="I662" s="4">
        <v>24.69</v>
      </c>
      <c r="J662" s="4">
        <v>67.599999999999994</v>
      </c>
      <c r="K662" s="4">
        <v>206.06</v>
      </c>
      <c r="L662">
        <f t="shared" si="20"/>
        <v>2026</v>
      </c>
      <c r="M662">
        <f t="shared" si="21"/>
        <v>1</v>
      </c>
    </row>
    <row r="663" spans="1:13" ht="15" customHeight="1" x14ac:dyDescent="0.2">
      <c r="A663" s="3">
        <v>46033</v>
      </c>
      <c r="B663" t="s">
        <v>719</v>
      </c>
      <c r="C663" t="s">
        <v>458</v>
      </c>
      <c r="D663" t="s">
        <v>40</v>
      </c>
      <c r="E663" s="4">
        <v>1745.42</v>
      </c>
      <c r="F663" s="4">
        <v>253.09</v>
      </c>
      <c r="G663" s="4">
        <v>1504.67</v>
      </c>
      <c r="H663" s="4">
        <v>37.619999999999997</v>
      </c>
      <c r="I663" s="4">
        <v>120.37</v>
      </c>
      <c r="J663" s="4">
        <v>84.5</v>
      </c>
      <c r="K663" s="4">
        <v>1249.8399999999999</v>
      </c>
      <c r="L663">
        <f t="shared" si="20"/>
        <v>2026</v>
      </c>
      <c r="M663">
        <f t="shared" si="21"/>
        <v>1</v>
      </c>
    </row>
    <row r="664" spans="1:13" ht="15" customHeight="1" x14ac:dyDescent="0.2">
      <c r="A664" s="3">
        <v>46033</v>
      </c>
      <c r="B664" t="s">
        <v>720</v>
      </c>
      <c r="C664" t="s">
        <v>131</v>
      </c>
      <c r="D664" t="s">
        <v>93</v>
      </c>
      <c r="E664" s="4">
        <v>2089.0500000000002</v>
      </c>
      <c r="F664" s="4">
        <v>302.91000000000003</v>
      </c>
      <c r="G664" s="4">
        <v>1800.91</v>
      </c>
      <c r="H664" s="4">
        <v>45.02</v>
      </c>
      <c r="I664" s="4">
        <v>144.07</v>
      </c>
      <c r="J664" s="4">
        <v>74.5</v>
      </c>
      <c r="K664" s="4">
        <v>1522.54</v>
      </c>
      <c r="L664">
        <f t="shared" si="20"/>
        <v>2026</v>
      </c>
      <c r="M664">
        <f t="shared" si="21"/>
        <v>1</v>
      </c>
    </row>
    <row r="665" spans="1:13" ht="15" customHeight="1" x14ac:dyDescent="0.2">
      <c r="A665" s="3">
        <v>46034</v>
      </c>
      <c r="B665" t="s">
        <v>721</v>
      </c>
      <c r="C665" t="s">
        <v>711</v>
      </c>
      <c r="D665" t="s">
        <v>38</v>
      </c>
      <c r="E665" s="4">
        <v>379.27</v>
      </c>
      <c r="F665" s="4">
        <v>56.89</v>
      </c>
      <c r="G665" s="4">
        <v>326.95999999999998</v>
      </c>
      <c r="H665" s="4">
        <v>8.17</v>
      </c>
      <c r="I665" s="4">
        <v>26.16</v>
      </c>
      <c r="J665" s="4">
        <v>67.599999999999994</v>
      </c>
      <c r="K665" s="4">
        <v>220.45</v>
      </c>
      <c r="L665">
        <f t="shared" si="20"/>
        <v>2026</v>
      </c>
      <c r="M665">
        <f t="shared" si="21"/>
        <v>1</v>
      </c>
    </row>
    <row r="666" spans="1:13" ht="15" customHeight="1" x14ac:dyDescent="0.2">
      <c r="A666" s="3">
        <v>46035</v>
      </c>
      <c r="B666" t="s">
        <v>722</v>
      </c>
      <c r="C666" t="s">
        <v>515</v>
      </c>
      <c r="D666" t="s">
        <v>93</v>
      </c>
      <c r="E666" s="4">
        <v>379.27</v>
      </c>
      <c r="F666" s="4">
        <v>56.89</v>
      </c>
      <c r="G666" s="4">
        <v>326.95999999999998</v>
      </c>
      <c r="H666" s="4">
        <v>8.17</v>
      </c>
      <c r="I666" s="4">
        <v>26.16</v>
      </c>
      <c r="J666" s="4">
        <v>67.599999999999994</v>
      </c>
      <c r="K666" s="4">
        <v>220.45</v>
      </c>
      <c r="L666">
        <f t="shared" si="20"/>
        <v>2026</v>
      </c>
      <c r="M666">
        <f t="shared" si="21"/>
        <v>1</v>
      </c>
    </row>
    <row r="667" spans="1:13" ht="15" customHeight="1" x14ac:dyDescent="0.2">
      <c r="A667" s="3">
        <v>46035</v>
      </c>
      <c r="B667" t="s">
        <v>723</v>
      </c>
      <c r="C667" t="s">
        <v>67</v>
      </c>
      <c r="D667" t="s">
        <v>35</v>
      </c>
      <c r="E667" s="4">
        <v>1499</v>
      </c>
      <c r="F667" s="4">
        <v>149.9</v>
      </c>
      <c r="G667" s="4">
        <v>1292.24</v>
      </c>
      <c r="H667" s="4">
        <v>32.31</v>
      </c>
      <c r="I667" s="4">
        <v>103.38</v>
      </c>
      <c r="J667" s="4">
        <v>74.5</v>
      </c>
      <c r="K667" s="4">
        <v>1138.9100000000001</v>
      </c>
      <c r="L667">
        <f t="shared" si="20"/>
        <v>2026</v>
      </c>
      <c r="M667">
        <f t="shared" si="21"/>
        <v>1</v>
      </c>
    </row>
    <row r="668" spans="1:13" ht="15" customHeight="1" x14ac:dyDescent="0.2">
      <c r="A668" s="3">
        <v>46036</v>
      </c>
      <c r="B668" t="s">
        <v>724</v>
      </c>
      <c r="C668" t="s">
        <v>31</v>
      </c>
      <c r="D668" t="s">
        <v>109</v>
      </c>
      <c r="E668" s="4">
        <v>1399</v>
      </c>
      <c r="F668" s="4">
        <v>202.86</v>
      </c>
      <c r="G668" s="4">
        <v>1206.03</v>
      </c>
      <c r="H668" s="4">
        <v>30.15</v>
      </c>
      <c r="I668" s="4">
        <v>96.48</v>
      </c>
      <c r="J668" s="4">
        <v>74.5</v>
      </c>
      <c r="K668" s="4">
        <v>995.01</v>
      </c>
      <c r="L668">
        <f t="shared" si="20"/>
        <v>2026</v>
      </c>
      <c r="M668">
        <f t="shared" si="21"/>
        <v>1</v>
      </c>
    </row>
    <row r="669" spans="1:13" ht="15" customHeight="1" x14ac:dyDescent="0.2">
      <c r="A669" s="3">
        <v>46037</v>
      </c>
      <c r="B669" t="s">
        <v>725</v>
      </c>
      <c r="C669" t="s">
        <v>726</v>
      </c>
      <c r="D669" t="s">
        <v>65</v>
      </c>
      <c r="E669" s="4">
        <v>379.27</v>
      </c>
      <c r="F669" s="4">
        <v>56.89</v>
      </c>
      <c r="G669" s="4">
        <v>326.95999999999998</v>
      </c>
      <c r="H669" s="4">
        <v>8.17</v>
      </c>
      <c r="I669" s="4">
        <v>26.16</v>
      </c>
      <c r="J669" s="4">
        <v>67.599999999999994</v>
      </c>
      <c r="K669" s="4">
        <v>220.45</v>
      </c>
      <c r="L669">
        <f t="shared" si="20"/>
        <v>2026</v>
      </c>
      <c r="M669">
        <f t="shared" si="21"/>
        <v>1</v>
      </c>
    </row>
    <row r="670" spans="1:13" ht="15" customHeight="1" x14ac:dyDescent="0.2">
      <c r="A670" s="3">
        <v>46037</v>
      </c>
      <c r="B670" t="s">
        <v>727</v>
      </c>
      <c r="C670" t="s">
        <v>515</v>
      </c>
      <c r="D670" t="s">
        <v>38</v>
      </c>
      <c r="E670" s="4">
        <v>379.27</v>
      </c>
      <c r="F670" s="4">
        <v>56.89</v>
      </c>
      <c r="G670" s="4">
        <v>326.95999999999998</v>
      </c>
      <c r="H670" s="4">
        <v>8.17</v>
      </c>
      <c r="I670" s="4">
        <v>26.16</v>
      </c>
      <c r="J670" s="4">
        <v>67.599999999999994</v>
      </c>
      <c r="K670" s="4">
        <v>220.45</v>
      </c>
      <c r="L670">
        <f t="shared" si="20"/>
        <v>2026</v>
      </c>
      <c r="M670">
        <f t="shared" si="21"/>
        <v>1</v>
      </c>
    </row>
    <row r="671" spans="1:13" ht="15" customHeight="1" x14ac:dyDescent="0.2">
      <c r="A671" s="3">
        <v>46037</v>
      </c>
      <c r="B671" t="s">
        <v>728</v>
      </c>
      <c r="C671" t="s">
        <v>31</v>
      </c>
      <c r="D671" t="s">
        <v>33</v>
      </c>
      <c r="E671" s="4">
        <v>1399</v>
      </c>
      <c r="F671" s="4">
        <v>202.86</v>
      </c>
      <c r="G671" s="4">
        <v>1206.03</v>
      </c>
      <c r="H671" s="4">
        <v>30.15</v>
      </c>
      <c r="I671" s="4">
        <v>96.48</v>
      </c>
      <c r="J671" s="4">
        <v>74.5</v>
      </c>
      <c r="K671" s="4">
        <v>995.01</v>
      </c>
      <c r="L671">
        <f t="shared" si="20"/>
        <v>2026</v>
      </c>
      <c r="M671">
        <f t="shared" si="21"/>
        <v>1</v>
      </c>
    </row>
    <row r="672" spans="1:13" ht="15" customHeight="1" x14ac:dyDescent="0.2">
      <c r="A672" s="3">
        <v>46037</v>
      </c>
      <c r="B672" t="s">
        <v>729</v>
      </c>
      <c r="C672" t="s">
        <v>67</v>
      </c>
      <c r="D672" t="s">
        <v>129</v>
      </c>
      <c r="E672" s="4">
        <v>1499</v>
      </c>
      <c r="F672" s="4">
        <v>149.9</v>
      </c>
      <c r="G672" s="4">
        <v>1292.24</v>
      </c>
      <c r="H672" s="4">
        <v>32.31</v>
      </c>
      <c r="I672" s="4">
        <v>103.38</v>
      </c>
      <c r="J672" s="4">
        <v>74.5</v>
      </c>
      <c r="K672" s="4">
        <v>1138.9100000000001</v>
      </c>
      <c r="L672">
        <f t="shared" si="20"/>
        <v>2026</v>
      </c>
      <c r="M672">
        <f t="shared" si="21"/>
        <v>1</v>
      </c>
    </row>
    <row r="673" spans="1:13" ht="15" customHeight="1" x14ac:dyDescent="0.2">
      <c r="A673" s="3">
        <v>46037</v>
      </c>
      <c r="B673" t="s">
        <v>730</v>
      </c>
      <c r="C673" t="s">
        <v>711</v>
      </c>
      <c r="D673" t="s">
        <v>93</v>
      </c>
      <c r="E673" s="4">
        <v>379.27</v>
      </c>
      <c r="F673" s="4">
        <v>56.89</v>
      </c>
      <c r="G673" s="4">
        <v>326.95999999999998</v>
      </c>
      <c r="H673" s="4">
        <v>8.17</v>
      </c>
      <c r="I673" s="4">
        <v>26.16</v>
      </c>
      <c r="J673" s="4">
        <v>67.599999999999994</v>
      </c>
      <c r="K673" s="4">
        <v>220.45</v>
      </c>
      <c r="L673">
        <f t="shared" si="20"/>
        <v>2026</v>
      </c>
      <c r="M673">
        <f t="shared" si="21"/>
        <v>1</v>
      </c>
    </row>
    <row r="674" spans="1:13" ht="15" customHeight="1" x14ac:dyDescent="0.2">
      <c r="A674" s="3">
        <v>46037</v>
      </c>
      <c r="B674" t="s">
        <v>731</v>
      </c>
      <c r="C674" t="s">
        <v>515</v>
      </c>
      <c r="D674" t="s">
        <v>38</v>
      </c>
      <c r="E674" s="4">
        <v>379.27</v>
      </c>
      <c r="F674" s="4">
        <v>56.89</v>
      </c>
      <c r="G674" s="4">
        <v>326.95999999999998</v>
      </c>
      <c r="H674" s="4">
        <v>8.17</v>
      </c>
      <c r="I674" s="4">
        <v>26.16</v>
      </c>
      <c r="J674" s="4">
        <v>67.599999999999994</v>
      </c>
      <c r="K674" s="4">
        <v>220.45</v>
      </c>
      <c r="L674">
        <f t="shared" si="20"/>
        <v>2026</v>
      </c>
      <c r="M674">
        <f t="shared" si="21"/>
        <v>1</v>
      </c>
    </row>
    <row r="675" spans="1:13" ht="15" customHeight="1" x14ac:dyDescent="0.2">
      <c r="A675" s="3">
        <v>46038</v>
      </c>
      <c r="B675" t="s">
        <v>732</v>
      </c>
      <c r="C675" t="s">
        <v>31</v>
      </c>
      <c r="D675" t="s">
        <v>35</v>
      </c>
      <c r="E675" s="4">
        <v>1399</v>
      </c>
      <c r="F675" s="4">
        <v>202.86</v>
      </c>
      <c r="G675" s="4">
        <v>1206.03</v>
      </c>
      <c r="H675" s="4">
        <v>30.15</v>
      </c>
      <c r="I675" s="4">
        <v>96.48</v>
      </c>
      <c r="J675" s="4">
        <v>74.5</v>
      </c>
      <c r="K675" s="4">
        <v>995.01</v>
      </c>
      <c r="L675">
        <f t="shared" si="20"/>
        <v>2026</v>
      </c>
      <c r="M675">
        <f t="shared" si="21"/>
        <v>1</v>
      </c>
    </row>
    <row r="676" spans="1:13" ht="15" customHeight="1" x14ac:dyDescent="0.2">
      <c r="A676" s="3">
        <v>46038</v>
      </c>
      <c r="B676" t="s">
        <v>733</v>
      </c>
      <c r="C676" t="s">
        <v>541</v>
      </c>
      <c r="D676" t="s">
        <v>33</v>
      </c>
      <c r="E676" s="4">
        <v>379.27</v>
      </c>
      <c r="F676" s="4">
        <v>56.89</v>
      </c>
      <c r="G676" s="4">
        <v>326.95999999999998</v>
      </c>
      <c r="H676" s="4">
        <v>8.17</v>
      </c>
      <c r="I676" s="4">
        <v>26.16</v>
      </c>
      <c r="J676" s="4">
        <v>67.599999999999994</v>
      </c>
      <c r="K676" s="4">
        <v>220.45</v>
      </c>
      <c r="L676">
        <f t="shared" si="20"/>
        <v>2026</v>
      </c>
      <c r="M676">
        <f t="shared" si="21"/>
        <v>1</v>
      </c>
    </row>
    <row r="677" spans="1:13" ht="15" customHeight="1" x14ac:dyDescent="0.2">
      <c r="A677" s="3">
        <v>46038</v>
      </c>
      <c r="B677" t="s">
        <v>734</v>
      </c>
      <c r="C677" t="s">
        <v>31</v>
      </c>
      <c r="D677" t="s">
        <v>29</v>
      </c>
      <c r="E677" s="4">
        <v>1399</v>
      </c>
      <c r="F677" s="4">
        <v>202.86</v>
      </c>
      <c r="G677" s="4">
        <v>1206.03</v>
      </c>
      <c r="H677" s="4">
        <v>30.15</v>
      </c>
      <c r="I677" s="4">
        <v>96.48</v>
      </c>
      <c r="J677" s="4">
        <v>74.5</v>
      </c>
      <c r="K677" s="4">
        <v>995.01</v>
      </c>
      <c r="L677">
        <f t="shared" si="20"/>
        <v>2026</v>
      </c>
      <c r="M677">
        <f t="shared" si="21"/>
        <v>1</v>
      </c>
    </row>
    <row r="678" spans="1:13" ht="15" customHeight="1" x14ac:dyDescent="0.2">
      <c r="A678" s="3">
        <v>46039</v>
      </c>
      <c r="B678" t="s">
        <v>735</v>
      </c>
      <c r="C678" t="s">
        <v>515</v>
      </c>
      <c r="D678" t="s">
        <v>81</v>
      </c>
      <c r="E678" s="4">
        <v>379.27</v>
      </c>
      <c r="F678" s="4">
        <v>56.89</v>
      </c>
      <c r="G678" s="4">
        <v>326.95999999999998</v>
      </c>
      <c r="H678" s="4">
        <v>8.17</v>
      </c>
      <c r="I678" s="4">
        <v>26.16</v>
      </c>
      <c r="J678" s="4">
        <v>67.599999999999994</v>
      </c>
      <c r="K678" s="4">
        <v>220.45</v>
      </c>
      <c r="L678">
        <f t="shared" si="20"/>
        <v>2026</v>
      </c>
      <c r="M678">
        <f t="shared" si="21"/>
        <v>1</v>
      </c>
    </row>
    <row r="679" spans="1:13" ht="15" customHeight="1" x14ac:dyDescent="0.2">
      <c r="A679" s="3">
        <v>46039</v>
      </c>
      <c r="B679" t="s">
        <v>736</v>
      </c>
      <c r="C679" t="s">
        <v>711</v>
      </c>
      <c r="D679" t="s">
        <v>38</v>
      </c>
      <c r="E679" s="4">
        <v>379.27</v>
      </c>
      <c r="F679" s="4">
        <v>56.89</v>
      </c>
      <c r="G679" s="4">
        <v>326.95999999999998</v>
      </c>
      <c r="H679" s="4">
        <v>8.17</v>
      </c>
      <c r="I679" s="4">
        <v>26.16</v>
      </c>
      <c r="J679" s="4">
        <v>67.599999999999994</v>
      </c>
      <c r="K679" s="4">
        <v>220.45</v>
      </c>
      <c r="L679">
        <f t="shared" si="20"/>
        <v>2026</v>
      </c>
      <c r="M679">
        <f t="shared" si="21"/>
        <v>1</v>
      </c>
    </row>
    <row r="680" spans="1:13" ht="15" customHeight="1" x14ac:dyDescent="0.2">
      <c r="A680" s="3">
        <v>46039</v>
      </c>
      <c r="B680" t="s">
        <v>737</v>
      </c>
      <c r="C680" t="s">
        <v>711</v>
      </c>
      <c r="D680" t="s">
        <v>93</v>
      </c>
      <c r="E680" s="4">
        <v>379.27</v>
      </c>
      <c r="F680" s="4">
        <v>56.89</v>
      </c>
      <c r="G680" s="4">
        <v>326.95999999999998</v>
      </c>
      <c r="H680" s="4">
        <v>8.17</v>
      </c>
      <c r="I680" s="4">
        <v>26.16</v>
      </c>
      <c r="J680" s="4">
        <v>67.599999999999994</v>
      </c>
      <c r="K680" s="4">
        <v>220.45</v>
      </c>
      <c r="L680">
        <f t="shared" si="20"/>
        <v>2026</v>
      </c>
      <c r="M680">
        <f t="shared" si="21"/>
        <v>1</v>
      </c>
    </row>
    <row r="681" spans="1:13" ht="15" customHeight="1" x14ac:dyDescent="0.2">
      <c r="A681" s="3">
        <v>46039</v>
      </c>
      <c r="B681" t="s">
        <v>738</v>
      </c>
      <c r="C681" t="s">
        <v>31</v>
      </c>
      <c r="D681" t="s">
        <v>38</v>
      </c>
      <c r="E681" s="4">
        <v>1399</v>
      </c>
      <c r="F681" s="4">
        <v>202.86</v>
      </c>
      <c r="G681" s="4">
        <v>1206.03</v>
      </c>
      <c r="H681" s="4">
        <v>30.15</v>
      </c>
      <c r="I681" s="4">
        <v>96.48</v>
      </c>
      <c r="J681" s="4">
        <v>74.5</v>
      </c>
      <c r="K681" s="4">
        <v>995.01</v>
      </c>
      <c r="L681">
        <f t="shared" si="20"/>
        <v>2026</v>
      </c>
      <c r="M681">
        <f t="shared" si="21"/>
        <v>1</v>
      </c>
    </row>
    <row r="682" spans="1:13" ht="15" customHeight="1" x14ac:dyDescent="0.2">
      <c r="A682" s="3">
        <v>46039</v>
      </c>
      <c r="B682" t="s">
        <v>739</v>
      </c>
      <c r="C682" t="s">
        <v>31</v>
      </c>
      <c r="D682" t="s">
        <v>189</v>
      </c>
      <c r="E682" s="4">
        <v>1399</v>
      </c>
      <c r="F682" s="4">
        <v>202.86</v>
      </c>
      <c r="G682" s="4">
        <v>1206.03</v>
      </c>
      <c r="H682" s="4">
        <v>30.15</v>
      </c>
      <c r="I682" s="4">
        <v>96.48</v>
      </c>
      <c r="J682" s="4">
        <v>74.5</v>
      </c>
      <c r="K682" s="4">
        <v>995.01</v>
      </c>
      <c r="L682">
        <f t="shared" si="20"/>
        <v>2026</v>
      </c>
      <c r="M682">
        <f t="shared" si="21"/>
        <v>1</v>
      </c>
    </row>
    <row r="683" spans="1:13" ht="15" customHeight="1" x14ac:dyDescent="0.2">
      <c r="A683" s="3">
        <v>46039</v>
      </c>
      <c r="B683" t="s">
        <v>740</v>
      </c>
      <c r="C683" t="s">
        <v>541</v>
      </c>
      <c r="D683" t="s">
        <v>232</v>
      </c>
      <c r="E683" s="4">
        <v>379.27</v>
      </c>
      <c r="F683" s="4">
        <v>56.89</v>
      </c>
      <c r="G683" s="4">
        <v>326.95999999999998</v>
      </c>
      <c r="H683" s="4">
        <v>8.17</v>
      </c>
      <c r="I683" s="4">
        <v>26.16</v>
      </c>
      <c r="J683" s="4">
        <v>67.599999999999994</v>
      </c>
      <c r="K683" s="4">
        <v>220.45</v>
      </c>
      <c r="L683">
        <f t="shared" si="20"/>
        <v>2026</v>
      </c>
      <c r="M683">
        <f t="shared" si="21"/>
        <v>1</v>
      </c>
    </row>
    <row r="684" spans="1:13" ht="15" customHeight="1" x14ac:dyDescent="0.2">
      <c r="A684" s="3">
        <v>46039</v>
      </c>
      <c r="B684" t="s">
        <v>741</v>
      </c>
      <c r="C684" t="s">
        <v>726</v>
      </c>
      <c r="D684" t="s">
        <v>24</v>
      </c>
      <c r="E684" s="4">
        <v>379.27</v>
      </c>
      <c r="F684" s="4">
        <v>56.89</v>
      </c>
      <c r="G684" s="4">
        <v>326.95999999999998</v>
      </c>
      <c r="H684" s="4">
        <v>8.17</v>
      </c>
      <c r="I684" s="4">
        <v>26.16</v>
      </c>
      <c r="J684" s="4">
        <v>67.599999999999994</v>
      </c>
      <c r="K684" s="4">
        <v>220.45</v>
      </c>
      <c r="L684">
        <f t="shared" si="20"/>
        <v>2026</v>
      </c>
      <c r="M684">
        <f t="shared" si="21"/>
        <v>1</v>
      </c>
    </row>
    <row r="685" spans="1:13" ht="15" customHeight="1" x14ac:dyDescent="0.2">
      <c r="A685" s="3">
        <v>46039</v>
      </c>
      <c r="B685" t="s">
        <v>742</v>
      </c>
      <c r="C685" t="s">
        <v>515</v>
      </c>
      <c r="D685" t="s">
        <v>164</v>
      </c>
      <c r="E685" s="4">
        <v>379.27</v>
      </c>
      <c r="F685" s="4">
        <v>56.89</v>
      </c>
      <c r="G685" s="4">
        <v>326.95999999999998</v>
      </c>
      <c r="H685" s="4">
        <v>8.17</v>
      </c>
      <c r="I685" s="4">
        <v>26.16</v>
      </c>
      <c r="J685" s="4">
        <v>67.599999999999994</v>
      </c>
      <c r="K685" s="4">
        <v>220.45</v>
      </c>
      <c r="L685">
        <f t="shared" si="20"/>
        <v>2026</v>
      </c>
      <c r="M685">
        <f t="shared" si="21"/>
        <v>1</v>
      </c>
    </row>
    <row r="686" spans="1:13" ht="15" customHeight="1" x14ac:dyDescent="0.2">
      <c r="A686" s="3">
        <v>46039</v>
      </c>
      <c r="B686" t="s">
        <v>743</v>
      </c>
      <c r="C686" t="s">
        <v>515</v>
      </c>
      <c r="D686" t="s">
        <v>53</v>
      </c>
      <c r="E686" s="4">
        <v>379.27</v>
      </c>
      <c r="F686" s="4">
        <v>56.89</v>
      </c>
      <c r="G686" s="4">
        <v>326.95999999999998</v>
      </c>
      <c r="H686" s="4">
        <v>8.17</v>
      </c>
      <c r="I686" s="4">
        <v>26.16</v>
      </c>
      <c r="J686" s="4">
        <v>67.599999999999994</v>
      </c>
      <c r="K686" s="4">
        <v>220.45</v>
      </c>
      <c r="L686">
        <f t="shared" si="20"/>
        <v>2026</v>
      </c>
      <c r="M686">
        <f t="shared" si="21"/>
        <v>1</v>
      </c>
    </row>
    <row r="687" spans="1:13" ht="15" customHeight="1" x14ac:dyDescent="0.2">
      <c r="A687" s="3">
        <v>46040</v>
      </c>
      <c r="B687" t="s">
        <v>744</v>
      </c>
      <c r="C687" t="s">
        <v>31</v>
      </c>
      <c r="D687" t="s">
        <v>21</v>
      </c>
      <c r="E687" s="4">
        <v>1399</v>
      </c>
      <c r="F687" s="4">
        <v>139.9</v>
      </c>
      <c r="G687" s="4">
        <v>1206.03</v>
      </c>
      <c r="H687" s="4">
        <v>30.15</v>
      </c>
      <c r="I687" s="4">
        <v>96.48</v>
      </c>
      <c r="J687" s="4">
        <v>74.5</v>
      </c>
      <c r="K687" s="4">
        <v>1057.97</v>
      </c>
      <c r="L687">
        <f t="shared" si="20"/>
        <v>2026</v>
      </c>
      <c r="M687">
        <f t="shared" si="21"/>
        <v>1</v>
      </c>
    </row>
    <row r="688" spans="1:13" ht="15" customHeight="1" x14ac:dyDescent="0.2">
      <c r="A688" s="3">
        <v>46041</v>
      </c>
      <c r="B688" t="s">
        <v>745</v>
      </c>
      <c r="C688" t="s">
        <v>31</v>
      </c>
      <c r="D688" t="s">
        <v>119</v>
      </c>
      <c r="E688" s="4">
        <v>1399</v>
      </c>
      <c r="F688" s="4">
        <v>202.86</v>
      </c>
      <c r="G688" s="4">
        <v>1206.03</v>
      </c>
      <c r="H688" s="4">
        <v>30.15</v>
      </c>
      <c r="I688" s="4">
        <v>96.48</v>
      </c>
      <c r="J688" s="4">
        <v>74.5</v>
      </c>
      <c r="K688" s="4">
        <v>995.01</v>
      </c>
      <c r="L688">
        <f t="shared" si="20"/>
        <v>2026</v>
      </c>
      <c r="M688">
        <f t="shared" si="21"/>
        <v>1</v>
      </c>
    </row>
    <row r="689" spans="1:13" ht="15" customHeight="1" x14ac:dyDescent="0.2">
      <c r="A689" s="3">
        <v>46041</v>
      </c>
      <c r="B689" t="s">
        <v>746</v>
      </c>
      <c r="C689" t="s">
        <v>90</v>
      </c>
      <c r="D689" t="s">
        <v>24</v>
      </c>
      <c r="E689" s="4">
        <v>308.49</v>
      </c>
      <c r="F689" s="4">
        <v>44.73</v>
      </c>
      <c r="G689" s="4">
        <v>265.94</v>
      </c>
      <c r="H689" s="4">
        <v>6.65</v>
      </c>
      <c r="I689" s="4">
        <v>21.28</v>
      </c>
      <c r="J689" s="4">
        <v>52.4</v>
      </c>
      <c r="K689" s="4">
        <v>183.44</v>
      </c>
      <c r="L689">
        <f t="shared" si="20"/>
        <v>2026</v>
      </c>
      <c r="M689">
        <f t="shared" si="21"/>
        <v>1</v>
      </c>
    </row>
    <row r="690" spans="1:13" ht="15" customHeight="1" x14ac:dyDescent="0.2">
      <c r="A690" s="3">
        <v>46041</v>
      </c>
      <c r="B690" t="s">
        <v>747</v>
      </c>
      <c r="C690" t="s">
        <v>31</v>
      </c>
      <c r="D690" t="s">
        <v>49</v>
      </c>
      <c r="E690" s="4">
        <v>1399</v>
      </c>
      <c r="F690" s="4">
        <v>202.86</v>
      </c>
      <c r="G690" s="4">
        <v>1206.03</v>
      </c>
      <c r="H690" s="4">
        <v>30.15</v>
      </c>
      <c r="I690" s="4">
        <v>96.48</v>
      </c>
      <c r="J690" s="4">
        <v>74.5</v>
      </c>
      <c r="K690" s="4">
        <v>995.01</v>
      </c>
      <c r="L690">
        <f t="shared" si="20"/>
        <v>2026</v>
      </c>
      <c r="M690">
        <f t="shared" si="21"/>
        <v>1</v>
      </c>
    </row>
    <row r="691" spans="1:13" ht="15" customHeight="1" x14ac:dyDescent="0.2">
      <c r="A691" s="3">
        <v>46041</v>
      </c>
      <c r="B691" t="s">
        <v>748</v>
      </c>
      <c r="C691" t="s">
        <v>515</v>
      </c>
      <c r="D691" t="s">
        <v>33</v>
      </c>
      <c r="E691" s="4">
        <v>399</v>
      </c>
      <c r="F691" s="4">
        <v>59.85</v>
      </c>
      <c r="G691" s="4">
        <v>343.97</v>
      </c>
      <c r="H691" s="4">
        <v>8.6</v>
      </c>
      <c r="I691" s="4">
        <v>27.52</v>
      </c>
      <c r="J691" s="4">
        <v>67.599999999999994</v>
      </c>
      <c r="K691" s="4">
        <v>235.43</v>
      </c>
      <c r="L691">
        <f t="shared" si="20"/>
        <v>2026</v>
      </c>
      <c r="M691">
        <f t="shared" si="21"/>
        <v>1</v>
      </c>
    </row>
    <row r="692" spans="1:13" ht="15" customHeight="1" x14ac:dyDescent="0.2">
      <c r="A692" s="3">
        <v>46041</v>
      </c>
      <c r="B692" t="s">
        <v>749</v>
      </c>
      <c r="C692" t="s">
        <v>67</v>
      </c>
      <c r="D692" t="s">
        <v>56</v>
      </c>
      <c r="E692" s="4">
        <v>1499</v>
      </c>
      <c r="F692" s="4">
        <v>149.9</v>
      </c>
      <c r="G692" s="4">
        <v>1292.24</v>
      </c>
      <c r="H692" s="4">
        <v>32.31</v>
      </c>
      <c r="I692" s="4">
        <v>103.38</v>
      </c>
      <c r="J692" s="4">
        <v>74.5</v>
      </c>
      <c r="K692" s="4">
        <v>1138.9100000000001</v>
      </c>
      <c r="L692">
        <f t="shared" si="20"/>
        <v>2026</v>
      </c>
      <c r="M692">
        <f t="shared" si="21"/>
        <v>1</v>
      </c>
    </row>
    <row r="693" spans="1:13" ht="15" customHeight="1" x14ac:dyDescent="0.2">
      <c r="A693" s="3">
        <v>46042</v>
      </c>
      <c r="B693" t="s">
        <v>750</v>
      </c>
      <c r="C693" t="s">
        <v>515</v>
      </c>
      <c r="D693" t="s">
        <v>33</v>
      </c>
      <c r="E693" s="4">
        <v>379.27</v>
      </c>
      <c r="F693" s="4">
        <v>56.89</v>
      </c>
      <c r="G693" s="4">
        <v>326.95999999999998</v>
      </c>
      <c r="H693" s="4">
        <v>8.17</v>
      </c>
      <c r="I693" s="4">
        <v>26.16</v>
      </c>
      <c r="J693" s="4">
        <v>67.599999999999994</v>
      </c>
      <c r="K693" s="4">
        <v>220.45</v>
      </c>
      <c r="L693">
        <f t="shared" si="20"/>
        <v>2026</v>
      </c>
      <c r="M693">
        <f t="shared" si="21"/>
        <v>1</v>
      </c>
    </row>
    <row r="694" spans="1:13" ht="15" customHeight="1" x14ac:dyDescent="0.2">
      <c r="A694" s="3">
        <v>46042</v>
      </c>
      <c r="B694" t="s">
        <v>751</v>
      </c>
      <c r="C694" t="s">
        <v>515</v>
      </c>
      <c r="D694" t="s">
        <v>21</v>
      </c>
      <c r="E694" s="4">
        <v>379.27</v>
      </c>
      <c r="F694" s="4">
        <v>56.89</v>
      </c>
      <c r="G694" s="4">
        <v>326.95999999999998</v>
      </c>
      <c r="H694" s="4">
        <v>8.17</v>
      </c>
      <c r="I694" s="4">
        <v>26.16</v>
      </c>
      <c r="J694" s="4">
        <v>67.599999999999994</v>
      </c>
      <c r="K694" s="4">
        <v>220.45</v>
      </c>
      <c r="L694">
        <f t="shared" si="20"/>
        <v>2026</v>
      </c>
      <c r="M694">
        <f t="shared" si="21"/>
        <v>1</v>
      </c>
    </row>
    <row r="695" spans="1:13" ht="15" customHeight="1" x14ac:dyDescent="0.2">
      <c r="A695" s="3">
        <v>46042</v>
      </c>
      <c r="B695" t="s">
        <v>752</v>
      </c>
      <c r="C695" t="s">
        <v>541</v>
      </c>
      <c r="D695" t="s">
        <v>93</v>
      </c>
      <c r="E695" s="4">
        <v>379.27</v>
      </c>
      <c r="F695" s="4">
        <v>56.89</v>
      </c>
      <c r="G695" s="4">
        <v>326.95999999999998</v>
      </c>
      <c r="H695" s="4">
        <v>8.17</v>
      </c>
      <c r="I695" s="4">
        <v>26.16</v>
      </c>
      <c r="J695" s="4">
        <v>67.599999999999994</v>
      </c>
      <c r="K695" s="4">
        <v>220.45</v>
      </c>
      <c r="L695">
        <f t="shared" si="20"/>
        <v>2026</v>
      </c>
      <c r="M695">
        <f t="shared" si="21"/>
        <v>1</v>
      </c>
    </row>
    <row r="696" spans="1:13" ht="15" customHeight="1" x14ac:dyDescent="0.2">
      <c r="A696" s="3">
        <v>46043</v>
      </c>
      <c r="B696" t="s">
        <v>753</v>
      </c>
      <c r="C696" t="s">
        <v>31</v>
      </c>
      <c r="D696" t="s">
        <v>33</v>
      </c>
      <c r="E696" s="4">
        <v>1399</v>
      </c>
      <c r="F696" s="4">
        <v>202.86</v>
      </c>
      <c r="G696" s="4">
        <v>1206.03</v>
      </c>
      <c r="H696" s="4">
        <v>30.15</v>
      </c>
      <c r="I696" s="4">
        <v>96.48</v>
      </c>
      <c r="J696" s="4">
        <v>74.5</v>
      </c>
      <c r="K696" s="4">
        <v>995.01</v>
      </c>
      <c r="L696">
        <f t="shared" si="20"/>
        <v>2026</v>
      </c>
      <c r="M696">
        <f t="shared" si="21"/>
        <v>1</v>
      </c>
    </row>
    <row r="697" spans="1:13" ht="15" customHeight="1" x14ac:dyDescent="0.2">
      <c r="A697" s="3">
        <v>46043</v>
      </c>
      <c r="B697" t="s">
        <v>754</v>
      </c>
      <c r="C697" t="s">
        <v>31</v>
      </c>
      <c r="D697" t="s">
        <v>49</v>
      </c>
      <c r="E697" s="4">
        <v>1399</v>
      </c>
      <c r="F697" s="4">
        <v>202.86</v>
      </c>
      <c r="G697" s="4">
        <v>1206.03</v>
      </c>
      <c r="H697" s="4">
        <v>30.15</v>
      </c>
      <c r="I697" s="4">
        <v>96.48</v>
      </c>
      <c r="J697" s="4">
        <v>74.5</v>
      </c>
      <c r="K697" s="4">
        <v>995.01</v>
      </c>
      <c r="L697">
        <f t="shared" si="20"/>
        <v>2026</v>
      </c>
      <c r="M697">
        <f t="shared" si="21"/>
        <v>1</v>
      </c>
    </row>
    <row r="698" spans="1:13" ht="15" customHeight="1" x14ac:dyDescent="0.2">
      <c r="A698" s="3">
        <v>46044</v>
      </c>
      <c r="B698" t="s">
        <v>755</v>
      </c>
      <c r="C698" t="s">
        <v>67</v>
      </c>
      <c r="D698" t="s">
        <v>77</v>
      </c>
      <c r="E698" s="4">
        <v>1499</v>
      </c>
      <c r="F698" s="4">
        <v>149.9</v>
      </c>
      <c r="G698" s="4">
        <v>1292.24</v>
      </c>
      <c r="H698" s="4">
        <v>32.31</v>
      </c>
      <c r="I698" s="4">
        <v>103.38</v>
      </c>
      <c r="J698" s="4">
        <v>74.5</v>
      </c>
      <c r="K698" s="4">
        <v>1138.9100000000001</v>
      </c>
      <c r="L698">
        <f t="shared" si="20"/>
        <v>2026</v>
      </c>
      <c r="M698">
        <f t="shared" si="21"/>
        <v>1</v>
      </c>
    </row>
    <row r="699" spans="1:13" ht="15" customHeight="1" x14ac:dyDescent="0.2">
      <c r="A699" s="3">
        <v>46045</v>
      </c>
      <c r="B699" t="s">
        <v>756</v>
      </c>
      <c r="C699" t="s">
        <v>31</v>
      </c>
      <c r="D699" t="s">
        <v>56</v>
      </c>
      <c r="E699" s="4">
        <v>1399</v>
      </c>
      <c r="F699" s="4">
        <v>202.86</v>
      </c>
      <c r="G699" s="4">
        <v>1206.03</v>
      </c>
      <c r="H699" s="4">
        <v>30.15</v>
      </c>
      <c r="I699" s="4">
        <v>96.48</v>
      </c>
      <c r="J699" s="4">
        <v>74.5</v>
      </c>
      <c r="K699" s="4">
        <v>995.01</v>
      </c>
      <c r="L699">
        <f t="shared" si="20"/>
        <v>2026</v>
      </c>
      <c r="M699">
        <f t="shared" si="21"/>
        <v>1</v>
      </c>
    </row>
    <row r="700" spans="1:13" ht="15" customHeight="1" x14ac:dyDescent="0.2">
      <c r="A700" s="3">
        <v>46051</v>
      </c>
      <c r="B700" t="s">
        <v>757</v>
      </c>
      <c r="C700" t="s">
        <v>31</v>
      </c>
      <c r="D700" t="s">
        <v>59</v>
      </c>
      <c r="E700" s="4">
        <v>1499</v>
      </c>
      <c r="F700" s="4">
        <v>217.36</v>
      </c>
      <c r="G700" s="4">
        <v>1292.24</v>
      </c>
      <c r="H700" s="4">
        <v>32.31</v>
      </c>
      <c r="I700" s="4">
        <v>103.38</v>
      </c>
      <c r="J700" s="4">
        <v>74.5</v>
      </c>
      <c r="K700" s="4">
        <v>1071.46</v>
      </c>
      <c r="L700">
        <f t="shared" si="20"/>
        <v>2026</v>
      </c>
      <c r="M700">
        <f t="shared" si="21"/>
        <v>1</v>
      </c>
    </row>
    <row r="701" spans="1:13" ht="15" customHeight="1" x14ac:dyDescent="0.2">
      <c r="A701" s="3">
        <v>46052</v>
      </c>
      <c r="B701" t="s">
        <v>758</v>
      </c>
      <c r="C701" t="s">
        <v>90</v>
      </c>
      <c r="D701" t="s">
        <v>93</v>
      </c>
      <c r="E701" s="4">
        <v>308.49</v>
      </c>
      <c r="F701" s="4">
        <v>44.73</v>
      </c>
      <c r="G701" s="4">
        <v>265.94</v>
      </c>
      <c r="H701" s="4">
        <v>6.65</v>
      </c>
      <c r="I701" s="4">
        <v>21.28</v>
      </c>
      <c r="J701" s="4">
        <v>52.4</v>
      </c>
      <c r="K701" s="4">
        <v>183.44</v>
      </c>
      <c r="L701">
        <f t="shared" si="20"/>
        <v>2026</v>
      </c>
      <c r="M701">
        <f t="shared" si="21"/>
        <v>1</v>
      </c>
    </row>
    <row r="702" spans="1:13" ht="15" customHeight="1" x14ac:dyDescent="0.2">
      <c r="A702" s="3">
        <v>46052</v>
      </c>
      <c r="B702" t="s">
        <v>759</v>
      </c>
      <c r="C702" t="s">
        <v>31</v>
      </c>
      <c r="D702" t="s">
        <v>140</v>
      </c>
      <c r="E702" s="4">
        <v>1149</v>
      </c>
      <c r="F702" s="4">
        <v>166.61</v>
      </c>
      <c r="G702" s="4">
        <v>990.52</v>
      </c>
      <c r="H702" s="4">
        <v>24.76</v>
      </c>
      <c r="I702" s="4">
        <v>79.239999999999995</v>
      </c>
      <c r="J702" s="4">
        <v>74.5</v>
      </c>
      <c r="K702" s="4">
        <v>803.89</v>
      </c>
      <c r="L702">
        <f t="shared" si="20"/>
        <v>2026</v>
      </c>
      <c r="M702">
        <f t="shared" si="21"/>
        <v>1</v>
      </c>
    </row>
    <row r="703" spans="1:13" ht="15" customHeight="1" x14ac:dyDescent="0.2">
      <c r="A703" s="3">
        <v>46052</v>
      </c>
      <c r="B703" t="s">
        <v>760</v>
      </c>
      <c r="C703" t="s">
        <v>90</v>
      </c>
      <c r="D703" t="s">
        <v>215</v>
      </c>
      <c r="E703" s="4">
        <v>308.49</v>
      </c>
      <c r="F703" s="4">
        <v>44.73</v>
      </c>
      <c r="G703" s="4">
        <v>265.94</v>
      </c>
      <c r="H703" s="4">
        <v>6.65</v>
      </c>
      <c r="I703" s="4">
        <v>21.28</v>
      </c>
      <c r="J703" s="4">
        <v>52.4</v>
      </c>
      <c r="K703" s="4">
        <v>183.44</v>
      </c>
      <c r="L703">
        <f t="shared" si="20"/>
        <v>2026</v>
      </c>
      <c r="M703">
        <f t="shared" si="21"/>
        <v>1</v>
      </c>
    </row>
    <row r="704" spans="1:13" ht="15" customHeight="1" x14ac:dyDescent="0.2">
      <c r="A704" s="3">
        <v>46052</v>
      </c>
      <c r="B704" t="s">
        <v>761</v>
      </c>
      <c r="C704" t="s">
        <v>115</v>
      </c>
      <c r="D704" t="s">
        <v>93</v>
      </c>
      <c r="E704" s="4">
        <v>1699</v>
      </c>
      <c r="F704" s="4">
        <v>246.36</v>
      </c>
      <c r="G704" s="4">
        <v>1464.66</v>
      </c>
      <c r="H704" s="4">
        <v>36.619999999999997</v>
      </c>
      <c r="I704" s="4">
        <v>117.17</v>
      </c>
      <c r="J704" s="4">
        <v>74.5</v>
      </c>
      <c r="K704" s="4">
        <v>1224.3599999999999</v>
      </c>
      <c r="L704">
        <f t="shared" si="20"/>
        <v>2026</v>
      </c>
      <c r="M704">
        <f t="shared" si="21"/>
        <v>1</v>
      </c>
    </row>
    <row r="705" spans="1:13" ht="15" customHeight="1" x14ac:dyDescent="0.2">
      <c r="A705" s="3">
        <v>46055</v>
      </c>
      <c r="B705" t="s">
        <v>762</v>
      </c>
      <c r="C705" t="s">
        <v>726</v>
      </c>
      <c r="D705" t="s">
        <v>38</v>
      </c>
      <c r="E705" s="4">
        <v>379.05</v>
      </c>
      <c r="F705" s="4">
        <v>56.86</v>
      </c>
      <c r="G705" s="4">
        <v>326.77</v>
      </c>
      <c r="H705" s="4">
        <v>8.17</v>
      </c>
      <c r="I705" s="4">
        <v>26.14</v>
      </c>
      <c r="J705" s="4">
        <v>67.599999999999994</v>
      </c>
      <c r="K705" s="4">
        <v>220.28</v>
      </c>
      <c r="L705">
        <f t="shared" si="20"/>
        <v>2026</v>
      </c>
      <c r="M705">
        <f t="shared" si="21"/>
        <v>1</v>
      </c>
    </row>
    <row r="706" spans="1:13" ht="15" customHeight="1" x14ac:dyDescent="0.2">
      <c r="A706" s="3">
        <v>46055</v>
      </c>
      <c r="B706" t="s">
        <v>763</v>
      </c>
      <c r="C706" t="s">
        <v>726</v>
      </c>
      <c r="D706" t="s">
        <v>93</v>
      </c>
      <c r="E706" s="4">
        <v>379.05</v>
      </c>
      <c r="F706" s="4">
        <v>56.86</v>
      </c>
      <c r="G706" s="4">
        <v>326.77</v>
      </c>
      <c r="H706" s="4">
        <v>8.17</v>
      </c>
      <c r="I706" s="4">
        <v>26.14</v>
      </c>
      <c r="J706" s="4">
        <v>67.599999999999994</v>
      </c>
      <c r="K706" s="4">
        <v>220.28</v>
      </c>
      <c r="L706">
        <f t="shared" ref="L706:L769" si="22">YEAR(A706)</f>
        <v>2026</v>
      </c>
      <c r="M706">
        <f t="shared" ref="M706:M769" si="23">ROUNDUP(MONTH(A706)/3,0)</f>
        <v>1</v>
      </c>
    </row>
    <row r="707" spans="1:13" ht="15" customHeight="1" x14ac:dyDescent="0.2">
      <c r="A707" s="3">
        <v>46055</v>
      </c>
      <c r="B707" t="s">
        <v>764</v>
      </c>
      <c r="C707" t="s">
        <v>726</v>
      </c>
      <c r="D707" t="s">
        <v>81</v>
      </c>
      <c r="E707" s="4">
        <v>379.05</v>
      </c>
      <c r="F707" s="4">
        <v>56.86</v>
      </c>
      <c r="G707" s="4">
        <v>326.77</v>
      </c>
      <c r="H707" s="4">
        <v>8.17</v>
      </c>
      <c r="I707" s="4">
        <v>26.14</v>
      </c>
      <c r="J707" s="4">
        <v>67.599999999999994</v>
      </c>
      <c r="K707" s="4">
        <v>220.28</v>
      </c>
      <c r="L707">
        <f t="shared" si="22"/>
        <v>2026</v>
      </c>
      <c r="M707">
        <f t="shared" si="23"/>
        <v>1</v>
      </c>
    </row>
    <row r="708" spans="1:13" ht="15" customHeight="1" x14ac:dyDescent="0.2">
      <c r="A708" s="3">
        <v>46055</v>
      </c>
      <c r="B708" t="s">
        <v>666</v>
      </c>
      <c r="C708" t="s">
        <v>90</v>
      </c>
      <c r="D708" t="s">
        <v>59</v>
      </c>
      <c r="E708" s="4">
        <v>308.49</v>
      </c>
      <c r="F708" s="4">
        <v>44.73</v>
      </c>
      <c r="G708" s="4">
        <v>265.94</v>
      </c>
      <c r="H708" s="4">
        <v>6.65</v>
      </c>
      <c r="I708" s="4">
        <v>21.28</v>
      </c>
      <c r="J708" s="4">
        <v>52.4</v>
      </c>
      <c r="K708" s="4">
        <v>183.44</v>
      </c>
      <c r="L708">
        <f t="shared" si="22"/>
        <v>2026</v>
      </c>
      <c r="M708">
        <f t="shared" si="23"/>
        <v>1</v>
      </c>
    </row>
    <row r="709" spans="1:13" ht="15" customHeight="1" x14ac:dyDescent="0.2">
      <c r="A709" s="3">
        <v>46055</v>
      </c>
      <c r="B709" t="s">
        <v>765</v>
      </c>
      <c r="C709" t="s">
        <v>541</v>
      </c>
      <c r="D709" t="s">
        <v>38</v>
      </c>
      <c r="E709" s="4">
        <v>379.05</v>
      </c>
      <c r="F709" s="4">
        <v>56.86</v>
      </c>
      <c r="G709" s="4">
        <v>326.77</v>
      </c>
      <c r="H709" s="4">
        <v>8.17</v>
      </c>
      <c r="I709" s="4">
        <v>26.14</v>
      </c>
      <c r="J709" s="4">
        <v>67.599999999999994</v>
      </c>
      <c r="K709" s="4">
        <v>220.28</v>
      </c>
      <c r="L709">
        <f t="shared" si="22"/>
        <v>2026</v>
      </c>
      <c r="M709">
        <f t="shared" si="23"/>
        <v>1</v>
      </c>
    </row>
    <row r="710" spans="1:13" ht="15" customHeight="1" x14ac:dyDescent="0.2">
      <c r="A710" s="3">
        <v>46055</v>
      </c>
      <c r="B710" t="s">
        <v>766</v>
      </c>
      <c r="C710" t="s">
        <v>90</v>
      </c>
      <c r="D710" t="s">
        <v>232</v>
      </c>
      <c r="E710" s="4">
        <v>308.20999999999998</v>
      </c>
      <c r="F710" s="4">
        <v>44.69</v>
      </c>
      <c r="G710" s="4">
        <v>265.7</v>
      </c>
      <c r="H710" s="4">
        <v>6.64</v>
      </c>
      <c r="I710" s="4">
        <v>21.26</v>
      </c>
      <c r="J710" s="4">
        <v>52.4</v>
      </c>
      <c r="K710" s="4">
        <v>183.22</v>
      </c>
      <c r="L710">
        <f t="shared" si="22"/>
        <v>2026</v>
      </c>
      <c r="M710">
        <f t="shared" si="23"/>
        <v>1</v>
      </c>
    </row>
    <row r="711" spans="1:13" ht="15" customHeight="1" x14ac:dyDescent="0.2">
      <c r="A711" s="3">
        <v>46056</v>
      </c>
      <c r="B711" t="s">
        <v>767</v>
      </c>
      <c r="C711" t="s">
        <v>726</v>
      </c>
      <c r="D711" t="s">
        <v>33</v>
      </c>
      <c r="E711" s="4">
        <v>379.05</v>
      </c>
      <c r="F711" s="4">
        <v>56.86</v>
      </c>
      <c r="G711" s="4">
        <v>326.77</v>
      </c>
      <c r="H711" s="4">
        <v>8.17</v>
      </c>
      <c r="I711" s="4">
        <v>26.14</v>
      </c>
      <c r="J711" s="4">
        <v>67.599999999999994</v>
      </c>
      <c r="K711" s="4">
        <v>220.28</v>
      </c>
      <c r="L711">
        <f t="shared" si="22"/>
        <v>2026</v>
      </c>
      <c r="M711">
        <f t="shared" si="23"/>
        <v>1</v>
      </c>
    </row>
    <row r="712" spans="1:13" ht="15" customHeight="1" x14ac:dyDescent="0.2">
      <c r="A712" s="3">
        <v>46057</v>
      </c>
      <c r="B712" t="s">
        <v>768</v>
      </c>
      <c r="C712" t="s">
        <v>541</v>
      </c>
      <c r="D712" t="s">
        <v>49</v>
      </c>
      <c r="E712" s="4">
        <v>379.05</v>
      </c>
      <c r="F712" s="4">
        <v>56.86</v>
      </c>
      <c r="G712" s="4">
        <v>326.77</v>
      </c>
      <c r="H712" s="4">
        <v>8.17</v>
      </c>
      <c r="I712" s="4">
        <v>26.14</v>
      </c>
      <c r="J712" s="4">
        <v>67.599999999999994</v>
      </c>
      <c r="K712" s="4">
        <v>220.28</v>
      </c>
      <c r="L712">
        <f t="shared" si="22"/>
        <v>2026</v>
      </c>
      <c r="M712">
        <f t="shared" si="23"/>
        <v>1</v>
      </c>
    </row>
    <row r="713" spans="1:13" ht="15" customHeight="1" x14ac:dyDescent="0.2">
      <c r="A713" s="3">
        <v>46057</v>
      </c>
      <c r="B713" t="s">
        <v>769</v>
      </c>
      <c r="C713" t="s">
        <v>770</v>
      </c>
      <c r="D713" t="s">
        <v>93</v>
      </c>
      <c r="E713" s="4">
        <v>379.05</v>
      </c>
      <c r="F713" s="4">
        <v>56.86</v>
      </c>
      <c r="G713" s="4">
        <v>326.77</v>
      </c>
      <c r="H713" s="4">
        <v>8.17</v>
      </c>
      <c r="I713" s="4">
        <v>26.14</v>
      </c>
      <c r="J713" s="4">
        <v>67.599999999999994</v>
      </c>
      <c r="K713" s="4">
        <v>220.28</v>
      </c>
      <c r="L713">
        <f t="shared" si="22"/>
        <v>2026</v>
      </c>
      <c r="M713">
        <f t="shared" si="23"/>
        <v>1</v>
      </c>
    </row>
    <row r="714" spans="1:13" ht="15" customHeight="1" x14ac:dyDescent="0.2">
      <c r="A714" s="3">
        <v>46057</v>
      </c>
      <c r="B714" t="s">
        <v>771</v>
      </c>
      <c r="C714" t="s">
        <v>541</v>
      </c>
      <c r="D714" t="s">
        <v>215</v>
      </c>
      <c r="E714" s="4">
        <v>379.05</v>
      </c>
      <c r="F714" s="4">
        <v>56.86</v>
      </c>
      <c r="G714" s="4">
        <v>326.77</v>
      </c>
      <c r="H714" s="4">
        <v>8.17</v>
      </c>
      <c r="I714" s="4">
        <v>26.14</v>
      </c>
      <c r="J714" s="4">
        <v>67.599999999999994</v>
      </c>
      <c r="K714" s="4">
        <v>220.28</v>
      </c>
      <c r="L714">
        <f t="shared" si="22"/>
        <v>2026</v>
      </c>
      <c r="M714">
        <f t="shared" si="23"/>
        <v>1</v>
      </c>
    </row>
    <row r="715" spans="1:13" ht="15" customHeight="1" x14ac:dyDescent="0.2">
      <c r="A715" s="3">
        <v>46057</v>
      </c>
      <c r="B715" t="s">
        <v>772</v>
      </c>
      <c r="C715" t="s">
        <v>726</v>
      </c>
      <c r="D715" t="s">
        <v>56</v>
      </c>
      <c r="E715" s="4">
        <v>379.05</v>
      </c>
      <c r="F715" s="4">
        <v>56.86</v>
      </c>
      <c r="G715" s="4">
        <v>326.77</v>
      </c>
      <c r="H715" s="4">
        <v>8.17</v>
      </c>
      <c r="I715" s="4">
        <v>26.14</v>
      </c>
      <c r="J715" s="4">
        <v>67.599999999999994</v>
      </c>
      <c r="K715" s="4">
        <v>220.28</v>
      </c>
      <c r="L715">
        <f t="shared" si="22"/>
        <v>2026</v>
      </c>
      <c r="M715">
        <f t="shared" si="23"/>
        <v>1</v>
      </c>
    </row>
    <row r="716" spans="1:13" ht="15" customHeight="1" x14ac:dyDescent="0.2">
      <c r="A716" s="3">
        <v>46057</v>
      </c>
      <c r="B716" t="s">
        <v>773</v>
      </c>
      <c r="C716" t="s">
        <v>31</v>
      </c>
      <c r="D716" t="s">
        <v>38</v>
      </c>
      <c r="E716" s="4">
        <v>1149</v>
      </c>
      <c r="F716" s="4">
        <v>166.61</v>
      </c>
      <c r="G716" s="4">
        <v>990.52</v>
      </c>
      <c r="H716" s="4">
        <v>24.76</v>
      </c>
      <c r="I716" s="4">
        <v>79.239999999999995</v>
      </c>
      <c r="J716" s="4">
        <v>74.5</v>
      </c>
      <c r="K716" s="4">
        <v>803.89</v>
      </c>
      <c r="L716">
        <f t="shared" si="22"/>
        <v>2026</v>
      </c>
      <c r="M716">
        <f t="shared" si="23"/>
        <v>1</v>
      </c>
    </row>
    <row r="717" spans="1:13" ht="15" customHeight="1" x14ac:dyDescent="0.2">
      <c r="A717" s="3">
        <v>46058</v>
      </c>
      <c r="B717" t="s">
        <v>774</v>
      </c>
      <c r="C717" t="s">
        <v>31</v>
      </c>
      <c r="D717" t="s">
        <v>93</v>
      </c>
      <c r="E717" s="4">
        <v>1149</v>
      </c>
      <c r="F717" s="4">
        <v>166.61</v>
      </c>
      <c r="G717" s="4">
        <v>990.52</v>
      </c>
      <c r="H717" s="4">
        <v>24.76</v>
      </c>
      <c r="I717" s="4">
        <v>79.239999999999995</v>
      </c>
      <c r="J717" s="4">
        <v>74.5</v>
      </c>
      <c r="K717" s="4">
        <v>803.89</v>
      </c>
      <c r="L717">
        <f t="shared" si="22"/>
        <v>2026</v>
      </c>
      <c r="M717">
        <f t="shared" si="23"/>
        <v>1</v>
      </c>
    </row>
    <row r="718" spans="1:13" ht="15" customHeight="1" x14ac:dyDescent="0.2">
      <c r="A718" s="3">
        <v>46058</v>
      </c>
      <c r="B718" t="s">
        <v>775</v>
      </c>
      <c r="C718" t="s">
        <v>31</v>
      </c>
      <c r="D718" t="s">
        <v>38</v>
      </c>
      <c r="E718" s="4">
        <v>1149</v>
      </c>
      <c r="F718" s="4">
        <v>166.61</v>
      </c>
      <c r="G718" s="4">
        <v>990.52</v>
      </c>
      <c r="H718" s="4">
        <v>24.76</v>
      </c>
      <c r="I718" s="4">
        <v>79.239999999999995</v>
      </c>
      <c r="J718" s="4">
        <v>74.5</v>
      </c>
      <c r="K718" s="4">
        <v>803.89</v>
      </c>
      <c r="L718">
        <f t="shared" si="22"/>
        <v>2026</v>
      </c>
      <c r="M718">
        <f t="shared" si="23"/>
        <v>1</v>
      </c>
    </row>
    <row r="719" spans="1:13" ht="15" customHeight="1" x14ac:dyDescent="0.2">
      <c r="A719" s="3">
        <v>46059</v>
      </c>
      <c r="B719" t="s">
        <v>776</v>
      </c>
      <c r="C719" t="s">
        <v>31</v>
      </c>
      <c r="D719" t="s">
        <v>56</v>
      </c>
      <c r="E719" s="4">
        <v>1149</v>
      </c>
      <c r="F719" s="4">
        <v>166.61</v>
      </c>
      <c r="G719" s="4">
        <v>990.52</v>
      </c>
      <c r="H719" s="4">
        <v>24.76</v>
      </c>
      <c r="I719" s="4">
        <v>79.239999999999995</v>
      </c>
      <c r="J719" s="4">
        <v>74.5</v>
      </c>
      <c r="K719" s="4">
        <v>803.89</v>
      </c>
      <c r="L719">
        <f t="shared" si="22"/>
        <v>2026</v>
      </c>
      <c r="M719">
        <f t="shared" si="23"/>
        <v>1</v>
      </c>
    </row>
    <row r="720" spans="1:13" ht="15" customHeight="1" x14ac:dyDescent="0.2">
      <c r="A720" s="3">
        <v>46060</v>
      </c>
      <c r="B720" t="s">
        <v>777</v>
      </c>
      <c r="C720" t="s">
        <v>31</v>
      </c>
      <c r="D720" t="s">
        <v>109</v>
      </c>
      <c r="E720" s="4">
        <v>1149</v>
      </c>
      <c r="F720" s="4">
        <v>166.61</v>
      </c>
      <c r="G720" s="4">
        <v>990.52</v>
      </c>
      <c r="H720" s="4">
        <v>24.76</v>
      </c>
      <c r="I720" s="4">
        <v>79.239999999999995</v>
      </c>
      <c r="J720" s="4">
        <v>74.5</v>
      </c>
      <c r="K720" s="4">
        <v>803.89</v>
      </c>
      <c r="L720">
        <f t="shared" si="22"/>
        <v>2026</v>
      </c>
      <c r="M720">
        <f t="shared" si="23"/>
        <v>1</v>
      </c>
    </row>
    <row r="721" spans="1:13" ht="15" customHeight="1" x14ac:dyDescent="0.2">
      <c r="A721" s="3">
        <v>46060</v>
      </c>
      <c r="B721" t="s">
        <v>778</v>
      </c>
      <c r="C721" t="s">
        <v>541</v>
      </c>
      <c r="D721" t="s">
        <v>93</v>
      </c>
      <c r="E721" s="4">
        <v>379.05</v>
      </c>
      <c r="F721" s="4">
        <v>56.86</v>
      </c>
      <c r="G721" s="4">
        <v>326.77</v>
      </c>
      <c r="H721" s="4">
        <v>8.17</v>
      </c>
      <c r="I721" s="4">
        <v>26.14</v>
      </c>
      <c r="J721" s="4">
        <v>67.599999999999994</v>
      </c>
      <c r="K721" s="4">
        <v>220.28</v>
      </c>
      <c r="L721">
        <f t="shared" si="22"/>
        <v>2026</v>
      </c>
      <c r="M721">
        <f t="shared" si="23"/>
        <v>1</v>
      </c>
    </row>
    <row r="722" spans="1:13" ht="15" customHeight="1" x14ac:dyDescent="0.2">
      <c r="A722" s="3">
        <v>46062</v>
      </c>
      <c r="B722" t="s">
        <v>779</v>
      </c>
      <c r="C722" t="s">
        <v>90</v>
      </c>
      <c r="D722" t="s">
        <v>65</v>
      </c>
      <c r="E722" s="4">
        <v>308.20999999999998</v>
      </c>
      <c r="F722" s="4">
        <v>44.69</v>
      </c>
      <c r="G722" s="4">
        <v>265.7</v>
      </c>
      <c r="H722" s="4">
        <v>6.64</v>
      </c>
      <c r="I722" s="4">
        <v>21.26</v>
      </c>
      <c r="J722" s="4">
        <v>52.4</v>
      </c>
      <c r="K722" s="4">
        <v>183.22</v>
      </c>
      <c r="L722">
        <f t="shared" si="22"/>
        <v>2026</v>
      </c>
      <c r="M722">
        <f t="shared" si="23"/>
        <v>1</v>
      </c>
    </row>
    <row r="723" spans="1:13" ht="15" customHeight="1" x14ac:dyDescent="0.2">
      <c r="A723" s="3">
        <v>46062</v>
      </c>
      <c r="B723" t="s">
        <v>780</v>
      </c>
      <c r="C723" t="s">
        <v>770</v>
      </c>
      <c r="D723" t="s">
        <v>29</v>
      </c>
      <c r="E723" s="4">
        <v>379.05</v>
      </c>
      <c r="F723" s="4">
        <v>56.86</v>
      </c>
      <c r="G723" s="4">
        <v>326.77</v>
      </c>
      <c r="H723" s="4">
        <v>8.17</v>
      </c>
      <c r="I723" s="4">
        <v>26.14</v>
      </c>
      <c r="J723" s="4">
        <v>67.599999999999994</v>
      </c>
      <c r="K723" s="4">
        <v>220.28</v>
      </c>
      <c r="L723">
        <f t="shared" si="22"/>
        <v>2026</v>
      </c>
      <c r="M723">
        <f t="shared" si="23"/>
        <v>1</v>
      </c>
    </row>
    <row r="724" spans="1:13" ht="15" customHeight="1" x14ac:dyDescent="0.2">
      <c r="A724" s="3">
        <v>46063</v>
      </c>
      <c r="B724" t="s">
        <v>781</v>
      </c>
      <c r="C724" t="s">
        <v>52</v>
      </c>
      <c r="D724" t="s">
        <v>59</v>
      </c>
      <c r="E724" s="4">
        <v>299.7</v>
      </c>
      <c r="F724" s="4">
        <v>58.44</v>
      </c>
      <c r="G724" s="4">
        <v>258.36</v>
      </c>
      <c r="H724" s="4">
        <v>6.46</v>
      </c>
      <c r="I724" s="4">
        <v>20.67</v>
      </c>
      <c r="J724" s="4">
        <v>67.599999999999994</v>
      </c>
      <c r="K724" s="4">
        <v>146.53</v>
      </c>
      <c r="L724">
        <f t="shared" si="22"/>
        <v>2026</v>
      </c>
      <c r="M724">
        <f t="shared" si="23"/>
        <v>1</v>
      </c>
    </row>
    <row r="725" spans="1:13" ht="15" customHeight="1" x14ac:dyDescent="0.2">
      <c r="A725" s="3">
        <v>46064</v>
      </c>
      <c r="B725" t="s">
        <v>782</v>
      </c>
      <c r="C725" t="s">
        <v>31</v>
      </c>
      <c r="D725" t="s">
        <v>24</v>
      </c>
      <c r="E725" s="4">
        <v>1059</v>
      </c>
      <c r="F725" s="4">
        <v>153.56</v>
      </c>
      <c r="G725" s="4">
        <v>912.93</v>
      </c>
      <c r="H725" s="4">
        <v>22.82</v>
      </c>
      <c r="I725" s="4">
        <v>73.03</v>
      </c>
      <c r="J725" s="4">
        <v>74.5</v>
      </c>
      <c r="K725" s="4">
        <v>735.09</v>
      </c>
      <c r="L725">
        <f t="shared" si="22"/>
        <v>2026</v>
      </c>
      <c r="M725">
        <f t="shared" si="23"/>
        <v>1</v>
      </c>
    </row>
    <row r="726" spans="1:13" ht="15" customHeight="1" x14ac:dyDescent="0.2">
      <c r="A726" s="3">
        <v>46065</v>
      </c>
      <c r="B726" t="s">
        <v>783</v>
      </c>
      <c r="C726" t="s">
        <v>31</v>
      </c>
      <c r="D726" t="s">
        <v>33</v>
      </c>
      <c r="E726" s="4">
        <v>999</v>
      </c>
      <c r="F726" s="4">
        <v>99.9</v>
      </c>
      <c r="G726" s="4">
        <v>861.21</v>
      </c>
      <c r="H726" s="4">
        <v>21.53</v>
      </c>
      <c r="I726" s="4">
        <v>68.900000000000006</v>
      </c>
      <c r="J726" s="4">
        <v>74.5</v>
      </c>
      <c r="K726" s="4">
        <v>734.17</v>
      </c>
      <c r="L726">
        <f t="shared" si="22"/>
        <v>2026</v>
      </c>
      <c r="M726">
        <f t="shared" si="23"/>
        <v>1</v>
      </c>
    </row>
    <row r="727" spans="1:13" ht="15" customHeight="1" x14ac:dyDescent="0.2">
      <c r="A727" s="3">
        <v>46066</v>
      </c>
      <c r="B727" t="s">
        <v>784</v>
      </c>
      <c r="C727" t="s">
        <v>31</v>
      </c>
      <c r="D727" t="s">
        <v>35</v>
      </c>
      <c r="E727" s="4">
        <v>999</v>
      </c>
      <c r="F727" s="4">
        <v>99.9</v>
      </c>
      <c r="G727" s="4">
        <v>861.21</v>
      </c>
      <c r="H727" s="4">
        <v>21.53</v>
      </c>
      <c r="I727" s="4">
        <v>68.900000000000006</v>
      </c>
      <c r="J727" s="4">
        <v>74.5</v>
      </c>
      <c r="K727" s="4">
        <v>734.17</v>
      </c>
      <c r="L727">
        <f t="shared" si="22"/>
        <v>2026</v>
      </c>
      <c r="M727">
        <f t="shared" si="23"/>
        <v>1</v>
      </c>
    </row>
    <row r="728" spans="1:13" ht="15" customHeight="1" x14ac:dyDescent="0.2">
      <c r="A728" s="3">
        <v>46066</v>
      </c>
      <c r="B728" t="s">
        <v>785</v>
      </c>
      <c r="C728" t="s">
        <v>113</v>
      </c>
      <c r="D728" t="s">
        <v>40</v>
      </c>
      <c r="E728" s="4">
        <v>299.7</v>
      </c>
      <c r="F728" s="4">
        <v>58.44</v>
      </c>
      <c r="G728" s="4">
        <v>258.36</v>
      </c>
      <c r="H728" s="4">
        <v>6.46</v>
      </c>
      <c r="I728" s="4">
        <v>20.67</v>
      </c>
      <c r="J728" s="4">
        <v>67.599999999999994</v>
      </c>
      <c r="K728" s="4">
        <v>146.53</v>
      </c>
      <c r="L728">
        <f t="shared" si="22"/>
        <v>2026</v>
      </c>
      <c r="M728">
        <f t="shared" si="23"/>
        <v>1</v>
      </c>
    </row>
    <row r="729" spans="1:13" ht="15" customHeight="1" x14ac:dyDescent="0.2">
      <c r="A729" s="3">
        <v>46066</v>
      </c>
      <c r="B729" t="s">
        <v>786</v>
      </c>
      <c r="C729" t="s">
        <v>52</v>
      </c>
      <c r="D729" t="s">
        <v>42</v>
      </c>
      <c r="E729" s="4">
        <v>299.7</v>
      </c>
      <c r="F729" s="4">
        <v>58.44</v>
      </c>
      <c r="G729" s="4">
        <v>258.36</v>
      </c>
      <c r="H729" s="4">
        <v>6.46</v>
      </c>
      <c r="I729" s="4">
        <v>20.67</v>
      </c>
      <c r="J729" s="4">
        <v>67.599999999999994</v>
      </c>
      <c r="K729" s="4">
        <v>146.53</v>
      </c>
      <c r="L729">
        <f t="shared" si="22"/>
        <v>2026</v>
      </c>
      <c r="M729">
        <f t="shared" si="23"/>
        <v>1</v>
      </c>
    </row>
    <row r="730" spans="1:13" ht="15" customHeight="1" x14ac:dyDescent="0.2">
      <c r="A730" s="3">
        <v>46068</v>
      </c>
      <c r="B730" t="s">
        <v>787</v>
      </c>
      <c r="C730" t="s">
        <v>90</v>
      </c>
      <c r="D730" t="s">
        <v>93</v>
      </c>
      <c r="E730" s="4">
        <v>308.20999999999998</v>
      </c>
      <c r="F730" s="4">
        <v>44.69</v>
      </c>
      <c r="G730" s="4">
        <v>265.7</v>
      </c>
      <c r="H730" s="4">
        <v>6.64</v>
      </c>
      <c r="I730" s="4">
        <v>21.26</v>
      </c>
      <c r="J730" s="4">
        <v>52.4</v>
      </c>
      <c r="K730" s="4">
        <v>183.22</v>
      </c>
      <c r="L730">
        <f t="shared" si="22"/>
        <v>2026</v>
      </c>
      <c r="M730">
        <f t="shared" si="23"/>
        <v>1</v>
      </c>
    </row>
    <row r="731" spans="1:13" ht="15" customHeight="1" x14ac:dyDescent="0.2">
      <c r="A731" s="3">
        <v>46068</v>
      </c>
      <c r="B731" t="s">
        <v>788</v>
      </c>
      <c r="C731" t="s">
        <v>90</v>
      </c>
      <c r="D731" t="s">
        <v>35</v>
      </c>
      <c r="E731" s="4">
        <v>308.20999999999998</v>
      </c>
      <c r="F731" s="4">
        <v>44.69</v>
      </c>
      <c r="G731" s="4">
        <v>265.7</v>
      </c>
      <c r="H731" s="4">
        <v>6.64</v>
      </c>
      <c r="I731" s="4">
        <v>21.26</v>
      </c>
      <c r="J731" s="4">
        <v>52.4</v>
      </c>
      <c r="K731" s="4">
        <v>183.22</v>
      </c>
      <c r="L731">
        <f t="shared" si="22"/>
        <v>2026</v>
      </c>
      <c r="M731">
        <f t="shared" si="23"/>
        <v>1</v>
      </c>
    </row>
    <row r="732" spans="1:13" ht="15" customHeight="1" x14ac:dyDescent="0.2">
      <c r="A732" s="3">
        <v>46069</v>
      </c>
      <c r="B732" t="s">
        <v>789</v>
      </c>
      <c r="C732" t="s">
        <v>31</v>
      </c>
      <c r="D732" t="s">
        <v>85</v>
      </c>
      <c r="E732" s="4">
        <v>999</v>
      </c>
      <c r="F732" s="4">
        <v>99.9</v>
      </c>
      <c r="G732" s="4">
        <v>861.21</v>
      </c>
      <c r="H732" s="4">
        <v>21.53</v>
      </c>
      <c r="I732" s="4">
        <v>68.900000000000006</v>
      </c>
      <c r="J732" s="4">
        <v>74.5</v>
      </c>
      <c r="K732" s="4">
        <v>734.17</v>
      </c>
      <c r="L732">
        <f t="shared" si="22"/>
        <v>2026</v>
      </c>
      <c r="M732">
        <f t="shared" si="23"/>
        <v>1</v>
      </c>
    </row>
    <row r="733" spans="1:13" ht="15" customHeight="1" x14ac:dyDescent="0.2">
      <c r="A733" s="3">
        <v>46070</v>
      </c>
      <c r="B733" t="s">
        <v>790</v>
      </c>
      <c r="C733" t="s">
        <v>726</v>
      </c>
      <c r="D733" t="s">
        <v>93</v>
      </c>
      <c r="E733" s="4">
        <v>379.05</v>
      </c>
      <c r="F733" s="4">
        <v>56.86</v>
      </c>
      <c r="G733" s="4">
        <v>326.77</v>
      </c>
      <c r="H733" s="4">
        <v>8.17</v>
      </c>
      <c r="I733" s="4">
        <v>26.14</v>
      </c>
      <c r="J733" s="4">
        <v>67.599999999999994</v>
      </c>
      <c r="K733" s="4">
        <v>220.28</v>
      </c>
      <c r="L733">
        <f t="shared" si="22"/>
        <v>2026</v>
      </c>
      <c r="M733">
        <f t="shared" si="23"/>
        <v>1</v>
      </c>
    </row>
    <row r="734" spans="1:13" ht="15" customHeight="1" x14ac:dyDescent="0.2">
      <c r="A734" s="3">
        <v>46070</v>
      </c>
      <c r="B734" t="s">
        <v>791</v>
      </c>
      <c r="C734" t="s">
        <v>541</v>
      </c>
      <c r="D734" t="s">
        <v>27</v>
      </c>
      <c r="E734" s="4">
        <v>379.05</v>
      </c>
      <c r="F734" s="4">
        <v>56.86</v>
      </c>
      <c r="G734" s="4">
        <v>326.77</v>
      </c>
      <c r="H734" s="4">
        <v>8.17</v>
      </c>
      <c r="I734" s="4">
        <v>26.14</v>
      </c>
      <c r="J734" s="4">
        <v>67.599999999999994</v>
      </c>
      <c r="K734" s="4">
        <v>220.28</v>
      </c>
      <c r="L734">
        <f t="shared" si="22"/>
        <v>2026</v>
      </c>
      <c r="M734">
        <f t="shared" si="23"/>
        <v>1</v>
      </c>
    </row>
    <row r="735" spans="1:13" ht="15" customHeight="1" x14ac:dyDescent="0.2">
      <c r="A735" s="3">
        <v>46070</v>
      </c>
      <c r="B735" t="s">
        <v>792</v>
      </c>
      <c r="C735" t="s">
        <v>31</v>
      </c>
      <c r="D735" t="s">
        <v>33</v>
      </c>
      <c r="E735" s="4">
        <v>999</v>
      </c>
      <c r="F735" s="4">
        <v>99.9</v>
      </c>
      <c r="G735" s="4">
        <v>861.21</v>
      </c>
      <c r="H735" s="4">
        <v>21.53</v>
      </c>
      <c r="I735" s="4">
        <v>68.900000000000006</v>
      </c>
      <c r="J735" s="4">
        <v>74.5</v>
      </c>
      <c r="K735" s="4">
        <v>734.17</v>
      </c>
      <c r="L735">
        <f t="shared" si="22"/>
        <v>2026</v>
      </c>
      <c r="M735">
        <f t="shared" si="23"/>
        <v>1</v>
      </c>
    </row>
    <row r="736" spans="1:13" ht="15" customHeight="1" x14ac:dyDescent="0.2">
      <c r="A736" s="3">
        <v>46072</v>
      </c>
      <c r="B736" t="s">
        <v>793</v>
      </c>
      <c r="C736" t="s">
        <v>711</v>
      </c>
      <c r="D736" t="s">
        <v>143</v>
      </c>
      <c r="E736" s="4">
        <v>379.05</v>
      </c>
      <c r="F736" s="4">
        <v>56.86</v>
      </c>
      <c r="G736" s="4">
        <v>326.77</v>
      </c>
      <c r="H736" s="4">
        <v>8.17</v>
      </c>
      <c r="I736" s="4">
        <v>26.14</v>
      </c>
      <c r="J736" s="4">
        <v>67.599999999999994</v>
      </c>
      <c r="K736" s="4">
        <v>220.28</v>
      </c>
      <c r="L736">
        <f t="shared" si="22"/>
        <v>2026</v>
      </c>
      <c r="M736">
        <f t="shared" si="23"/>
        <v>1</v>
      </c>
    </row>
    <row r="737" spans="1:13" ht="15" customHeight="1" x14ac:dyDescent="0.2">
      <c r="A737" s="3">
        <v>46072</v>
      </c>
      <c r="B737" t="s">
        <v>794</v>
      </c>
      <c r="C737" t="s">
        <v>90</v>
      </c>
      <c r="D737" t="s">
        <v>93</v>
      </c>
      <c r="E737" s="4">
        <v>308.20999999999998</v>
      </c>
      <c r="F737" s="4">
        <v>44.69</v>
      </c>
      <c r="G737" s="4">
        <v>265.7</v>
      </c>
      <c r="H737" s="4">
        <v>6.64</v>
      </c>
      <c r="I737" s="4">
        <v>21.26</v>
      </c>
      <c r="J737" s="4">
        <v>52.4</v>
      </c>
      <c r="K737" s="4">
        <v>183.22</v>
      </c>
      <c r="L737">
        <f t="shared" si="22"/>
        <v>2026</v>
      </c>
      <c r="M737">
        <f t="shared" si="23"/>
        <v>1</v>
      </c>
    </row>
    <row r="738" spans="1:13" ht="15" customHeight="1" x14ac:dyDescent="0.2">
      <c r="A738" s="3">
        <v>46072</v>
      </c>
      <c r="B738" t="s">
        <v>795</v>
      </c>
      <c r="C738" t="s">
        <v>31</v>
      </c>
      <c r="D738" t="s">
        <v>56</v>
      </c>
      <c r="E738" s="4">
        <v>999</v>
      </c>
      <c r="F738" s="4">
        <v>99.9</v>
      </c>
      <c r="G738" s="4">
        <v>861.21</v>
      </c>
      <c r="H738" s="4">
        <v>21.53</v>
      </c>
      <c r="I738" s="4">
        <v>68.900000000000006</v>
      </c>
      <c r="J738" s="4">
        <v>74.5</v>
      </c>
      <c r="K738" s="4">
        <v>734.17</v>
      </c>
      <c r="L738">
        <f t="shared" si="22"/>
        <v>2026</v>
      </c>
      <c r="M738">
        <f t="shared" si="23"/>
        <v>1</v>
      </c>
    </row>
    <row r="739" spans="1:13" ht="15" customHeight="1" x14ac:dyDescent="0.2">
      <c r="A739" s="3">
        <v>46072</v>
      </c>
      <c r="B739" t="s">
        <v>796</v>
      </c>
      <c r="C739" t="s">
        <v>515</v>
      </c>
      <c r="D739" t="s">
        <v>93</v>
      </c>
      <c r="E739" s="4">
        <v>379.05</v>
      </c>
      <c r="F739" s="4">
        <v>56.86</v>
      </c>
      <c r="G739" s="4">
        <v>326.77</v>
      </c>
      <c r="H739" s="4">
        <v>8.17</v>
      </c>
      <c r="I739" s="4">
        <v>26.14</v>
      </c>
      <c r="J739" s="4">
        <v>67.599999999999994</v>
      </c>
      <c r="K739" s="4">
        <v>220.28</v>
      </c>
      <c r="L739">
        <f t="shared" si="22"/>
        <v>2026</v>
      </c>
      <c r="M739">
        <f t="shared" si="23"/>
        <v>1</v>
      </c>
    </row>
    <row r="740" spans="1:13" ht="15" customHeight="1" x14ac:dyDescent="0.2">
      <c r="A740" s="3">
        <v>46072</v>
      </c>
      <c r="B740" t="s">
        <v>797</v>
      </c>
      <c r="C740" t="s">
        <v>711</v>
      </c>
      <c r="D740" t="s">
        <v>65</v>
      </c>
      <c r="E740" s="4">
        <v>379.05</v>
      </c>
      <c r="F740" s="4">
        <v>56.86</v>
      </c>
      <c r="G740" s="4">
        <v>326.77</v>
      </c>
      <c r="H740" s="4">
        <v>8.17</v>
      </c>
      <c r="I740" s="4">
        <v>26.14</v>
      </c>
      <c r="J740" s="4">
        <v>67.599999999999994</v>
      </c>
      <c r="K740" s="4">
        <v>220.28</v>
      </c>
      <c r="L740">
        <f t="shared" si="22"/>
        <v>2026</v>
      </c>
      <c r="M740">
        <f t="shared" si="23"/>
        <v>1</v>
      </c>
    </row>
    <row r="741" spans="1:13" ht="15" customHeight="1" x14ac:dyDescent="0.2">
      <c r="A741" s="3">
        <v>46072</v>
      </c>
      <c r="B741" t="s">
        <v>798</v>
      </c>
      <c r="C741" t="s">
        <v>711</v>
      </c>
      <c r="D741" t="s">
        <v>38</v>
      </c>
      <c r="E741" s="4">
        <v>379.05</v>
      </c>
      <c r="F741" s="4">
        <v>56.86</v>
      </c>
      <c r="G741" s="4">
        <v>326.77</v>
      </c>
      <c r="H741" s="4">
        <v>8.17</v>
      </c>
      <c r="I741" s="4">
        <v>26.14</v>
      </c>
      <c r="J741" s="4">
        <v>67.599999999999994</v>
      </c>
      <c r="K741" s="4">
        <v>220.28</v>
      </c>
      <c r="L741">
        <f t="shared" si="22"/>
        <v>2026</v>
      </c>
      <c r="M741">
        <f t="shared" si="23"/>
        <v>1</v>
      </c>
    </row>
    <row r="742" spans="1:13" ht="15" customHeight="1" x14ac:dyDescent="0.2">
      <c r="A742" s="3">
        <v>46072</v>
      </c>
      <c r="B742" t="s">
        <v>799</v>
      </c>
      <c r="C742" t="s">
        <v>711</v>
      </c>
      <c r="D742" t="s">
        <v>38</v>
      </c>
      <c r="E742" s="4">
        <v>379.05</v>
      </c>
      <c r="F742" s="4">
        <v>56.86</v>
      </c>
      <c r="G742" s="4">
        <v>326.77</v>
      </c>
      <c r="H742" s="4">
        <v>8.17</v>
      </c>
      <c r="I742" s="4">
        <v>26.14</v>
      </c>
      <c r="J742" s="4">
        <v>67.599999999999994</v>
      </c>
      <c r="K742" s="4">
        <v>220.28</v>
      </c>
      <c r="L742">
        <f t="shared" si="22"/>
        <v>2026</v>
      </c>
      <c r="M742">
        <f t="shared" si="23"/>
        <v>1</v>
      </c>
    </row>
    <row r="743" spans="1:13" ht="15" customHeight="1" x14ac:dyDescent="0.2">
      <c r="A743" s="3">
        <v>46072</v>
      </c>
      <c r="B743" t="s">
        <v>800</v>
      </c>
      <c r="C743" t="s">
        <v>90</v>
      </c>
      <c r="D743" t="s">
        <v>49</v>
      </c>
      <c r="E743" s="4">
        <v>339</v>
      </c>
      <c r="F743" s="4">
        <v>49.16</v>
      </c>
      <c r="G743" s="4">
        <v>292.24</v>
      </c>
      <c r="H743" s="4">
        <v>7.31</v>
      </c>
      <c r="I743" s="4">
        <v>23.38</v>
      </c>
      <c r="J743" s="4">
        <v>52.4</v>
      </c>
      <c r="K743" s="4">
        <v>206.76</v>
      </c>
      <c r="L743">
        <f t="shared" si="22"/>
        <v>2026</v>
      </c>
      <c r="M743">
        <f t="shared" si="23"/>
        <v>1</v>
      </c>
    </row>
    <row r="744" spans="1:13" ht="15" customHeight="1" x14ac:dyDescent="0.2">
      <c r="A744" s="3">
        <v>46072</v>
      </c>
      <c r="B744" t="s">
        <v>801</v>
      </c>
      <c r="C744" t="s">
        <v>711</v>
      </c>
      <c r="D744" t="s">
        <v>314</v>
      </c>
      <c r="E744" s="4">
        <v>379.05</v>
      </c>
      <c r="F744" s="4">
        <v>56.86</v>
      </c>
      <c r="G744" s="4">
        <v>326.77</v>
      </c>
      <c r="H744" s="4">
        <v>8.17</v>
      </c>
      <c r="I744" s="4">
        <v>26.14</v>
      </c>
      <c r="J744" s="4">
        <v>67.599999999999994</v>
      </c>
      <c r="K744" s="4">
        <v>220.28</v>
      </c>
      <c r="L744">
        <f t="shared" si="22"/>
        <v>2026</v>
      </c>
      <c r="M744">
        <f t="shared" si="23"/>
        <v>1</v>
      </c>
    </row>
    <row r="745" spans="1:13" ht="15" customHeight="1" x14ac:dyDescent="0.2">
      <c r="A745" s="3">
        <v>46074</v>
      </c>
      <c r="B745" t="s">
        <v>802</v>
      </c>
      <c r="C745" t="s">
        <v>90</v>
      </c>
      <c r="D745" t="s">
        <v>77</v>
      </c>
      <c r="E745" s="4">
        <v>308.20999999999998</v>
      </c>
      <c r="F745" s="4">
        <v>44.69</v>
      </c>
      <c r="G745" s="4">
        <v>265.7</v>
      </c>
      <c r="H745" s="4">
        <v>6.64</v>
      </c>
      <c r="I745" s="4">
        <v>21.26</v>
      </c>
      <c r="J745" s="4">
        <v>52.4</v>
      </c>
      <c r="K745" s="4">
        <v>183.22</v>
      </c>
      <c r="L745">
        <f t="shared" si="22"/>
        <v>2026</v>
      </c>
      <c r="M745">
        <f t="shared" si="23"/>
        <v>1</v>
      </c>
    </row>
    <row r="746" spans="1:13" ht="15" customHeight="1" x14ac:dyDescent="0.2">
      <c r="A746" s="3">
        <v>46074</v>
      </c>
      <c r="B746" t="s">
        <v>803</v>
      </c>
      <c r="C746" t="s">
        <v>726</v>
      </c>
      <c r="D746" t="s">
        <v>38</v>
      </c>
      <c r="E746" s="4">
        <v>379.05</v>
      </c>
      <c r="F746" s="4">
        <v>56.86</v>
      </c>
      <c r="G746" s="4">
        <v>326.77</v>
      </c>
      <c r="H746" s="4">
        <v>8.17</v>
      </c>
      <c r="I746" s="4">
        <v>26.14</v>
      </c>
      <c r="J746" s="4">
        <v>67.599999999999994</v>
      </c>
      <c r="K746" s="4">
        <v>220.28</v>
      </c>
      <c r="L746">
        <f t="shared" si="22"/>
        <v>2026</v>
      </c>
      <c r="M746">
        <f t="shared" si="23"/>
        <v>1</v>
      </c>
    </row>
    <row r="747" spans="1:13" ht="15" customHeight="1" x14ac:dyDescent="0.2">
      <c r="A747" s="3">
        <v>46076</v>
      </c>
      <c r="B747" t="s">
        <v>804</v>
      </c>
      <c r="C747" t="s">
        <v>711</v>
      </c>
      <c r="D747" t="s">
        <v>56</v>
      </c>
      <c r="E747" s="4">
        <v>379.05</v>
      </c>
      <c r="F747" s="4">
        <v>56.86</v>
      </c>
      <c r="G747" s="4">
        <v>326.77</v>
      </c>
      <c r="H747" s="4">
        <v>8.17</v>
      </c>
      <c r="I747" s="4">
        <v>26.14</v>
      </c>
      <c r="J747" s="4">
        <v>67.599999999999994</v>
      </c>
      <c r="K747" s="4">
        <v>220.28</v>
      </c>
      <c r="L747">
        <f t="shared" si="22"/>
        <v>2026</v>
      </c>
      <c r="M747">
        <f t="shared" si="23"/>
        <v>1</v>
      </c>
    </row>
    <row r="748" spans="1:13" ht="15" customHeight="1" x14ac:dyDescent="0.2">
      <c r="A748" s="3">
        <v>46076</v>
      </c>
      <c r="B748" t="s">
        <v>805</v>
      </c>
      <c r="C748" t="s">
        <v>515</v>
      </c>
      <c r="D748" t="s">
        <v>38</v>
      </c>
      <c r="E748" s="4">
        <v>379.05</v>
      </c>
      <c r="F748" s="4">
        <v>56.86</v>
      </c>
      <c r="G748" s="4">
        <v>326.77</v>
      </c>
      <c r="H748" s="4">
        <v>8.17</v>
      </c>
      <c r="I748" s="4">
        <v>26.14</v>
      </c>
      <c r="J748" s="4">
        <v>67.599999999999994</v>
      </c>
      <c r="K748" s="4">
        <v>220.28</v>
      </c>
      <c r="L748">
        <f t="shared" si="22"/>
        <v>2026</v>
      </c>
      <c r="M748">
        <f t="shared" si="23"/>
        <v>1</v>
      </c>
    </row>
    <row r="749" spans="1:13" ht="15" customHeight="1" x14ac:dyDescent="0.2">
      <c r="A749" s="3">
        <v>46076</v>
      </c>
      <c r="B749" t="s">
        <v>806</v>
      </c>
      <c r="C749" t="s">
        <v>711</v>
      </c>
      <c r="D749" t="s">
        <v>93</v>
      </c>
      <c r="E749" s="4">
        <v>379.05</v>
      </c>
      <c r="F749" s="4">
        <v>56.86</v>
      </c>
      <c r="G749" s="4">
        <v>326.77</v>
      </c>
      <c r="H749" s="4">
        <v>8.17</v>
      </c>
      <c r="I749" s="4">
        <v>26.14</v>
      </c>
      <c r="J749" s="4">
        <v>67.599999999999994</v>
      </c>
      <c r="K749" s="4">
        <v>220.28</v>
      </c>
      <c r="L749">
        <f t="shared" si="22"/>
        <v>2026</v>
      </c>
      <c r="M749">
        <f t="shared" si="23"/>
        <v>1</v>
      </c>
    </row>
    <row r="750" spans="1:13" ht="15" customHeight="1" x14ac:dyDescent="0.2">
      <c r="A750" s="3">
        <v>46076</v>
      </c>
      <c r="B750" t="s">
        <v>807</v>
      </c>
      <c r="C750" t="s">
        <v>31</v>
      </c>
      <c r="D750" t="s">
        <v>38</v>
      </c>
      <c r="E750" s="4">
        <v>999</v>
      </c>
      <c r="F750" s="4">
        <v>99.9</v>
      </c>
      <c r="G750" s="4">
        <v>861.21</v>
      </c>
      <c r="H750" s="4">
        <v>21.53</v>
      </c>
      <c r="I750" s="4">
        <v>68.900000000000006</v>
      </c>
      <c r="J750" s="4">
        <v>74.5</v>
      </c>
      <c r="K750" s="4">
        <v>734.17</v>
      </c>
      <c r="L750">
        <f t="shared" si="22"/>
        <v>2026</v>
      </c>
      <c r="M750">
        <f t="shared" si="23"/>
        <v>1</v>
      </c>
    </row>
    <row r="751" spans="1:13" ht="15" customHeight="1" x14ac:dyDescent="0.2">
      <c r="A751" s="3">
        <v>46077</v>
      </c>
      <c r="B751" t="s">
        <v>808</v>
      </c>
      <c r="C751" t="s">
        <v>31</v>
      </c>
      <c r="D751" t="s">
        <v>38</v>
      </c>
      <c r="E751" s="4">
        <v>999</v>
      </c>
      <c r="F751" s="4">
        <v>99.9</v>
      </c>
      <c r="G751" s="4">
        <v>861.21</v>
      </c>
      <c r="H751" s="4">
        <v>21.53</v>
      </c>
      <c r="I751" s="4">
        <v>68.900000000000006</v>
      </c>
      <c r="J751" s="4">
        <v>74.5</v>
      </c>
      <c r="K751" s="4">
        <v>734.17</v>
      </c>
      <c r="L751">
        <f t="shared" si="22"/>
        <v>2026</v>
      </c>
      <c r="M751">
        <f t="shared" si="23"/>
        <v>1</v>
      </c>
    </row>
    <row r="752" spans="1:13" ht="15" customHeight="1" x14ac:dyDescent="0.2">
      <c r="A752" s="3">
        <v>46077</v>
      </c>
      <c r="B752" t="s">
        <v>809</v>
      </c>
      <c r="C752" t="s">
        <v>31</v>
      </c>
      <c r="D752" t="s">
        <v>29</v>
      </c>
      <c r="E752" s="4">
        <v>999</v>
      </c>
      <c r="F752" s="4">
        <v>99.9</v>
      </c>
      <c r="G752" s="4">
        <v>861.21</v>
      </c>
      <c r="H752" s="4">
        <v>21.53</v>
      </c>
      <c r="I752" s="4">
        <v>68.900000000000006</v>
      </c>
      <c r="J752" s="4">
        <v>74.5</v>
      </c>
      <c r="K752" s="4">
        <v>734.17</v>
      </c>
      <c r="L752">
        <f t="shared" si="22"/>
        <v>2026</v>
      </c>
      <c r="M752">
        <f t="shared" si="23"/>
        <v>1</v>
      </c>
    </row>
    <row r="753" spans="1:13" ht="15" customHeight="1" x14ac:dyDescent="0.2">
      <c r="A753" s="3">
        <v>46080</v>
      </c>
      <c r="B753" t="s">
        <v>810</v>
      </c>
      <c r="C753" t="s">
        <v>31</v>
      </c>
      <c r="D753" t="s">
        <v>65</v>
      </c>
      <c r="E753" s="4">
        <v>999</v>
      </c>
      <c r="F753" s="4">
        <v>144.86000000000001</v>
      </c>
      <c r="G753" s="4">
        <v>861.21</v>
      </c>
      <c r="H753" s="4">
        <v>21.53</v>
      </c>
      <c r="I753" s="4">
        <v>68.900000000000006</v>
      </c>
      <c r="J753" s="4">
        <v>74.5</v>
      </c>
      <c r="K753" s="4">
        <v>689.22</v>
      </c>
      <c r="L753">
        <f t="shared" si="22"/>
        <v>2026</v>
      </c>
      <c r="M753">
        <f t="shared" si="23"/>
        <v>1</v>
      </c>
    </row>
    <row r="754" spans="1:13" ht="15" customHeight="1" x14ac:dyDescent="0.2">
      <c r="A754" s="3">
        <v>46080</v>
      </c>
      <c r="B754" t="s">
        <v>811</v>
      </c>
      <c r="C754" t="s">
        <v>711</v>
      </c>
      <c r="D754" t="s">
        <v>38</v>
      </c>
      <c r="E754" s="4">
        <v>379.05</v>
      </c>
      <c r="F754" s="4">
        <v>56.86</v>
      </c>
      <c r="G754" s="4">
        <v>326.77</v>
      </c>
      <c r="H754" s="4">
        <v>8.17</v>
      </c>
      <c r="I754" s="4">
        <v>26.14</v>
      </c>
      <c r="J754" s="4">
        <v>67.599999999999994</v>
      </c>
      <c r="K754" s="4">
        <v>220.28</v>
      </c>
      <c r="L754">
        <f t="shared" si="22"/>
        <v>2026</v>
      </c>
      <c r="M754">
        <f t="shared" si="23"/>
        <v>1</v>
      </c>
    </row>
    <row r="755" spans="1:13" ht="15" customHeight="1" x14ac:dyDescent="0.2">
      <c r="A755" s="3">
        <v>46080</v>
      </c>
      <c r="B755" t="s">
        <v>812</v>
      </c>
      <c r="C755" t="s">
        <v>726</v>
      </c>
      <c r="D755" t="s">
        <v>24</v>
      </c>
      <c r="E755" s="4">
        <v>379.05</v>
      </c>
      <c r="F755" s="4">
        <v>56.86</v>
      </c>
      <c r="G755" s="4">
        <v>326.77</v>
      </c>
      <c r="H755" s="4">
        <v>8.17</v>
      </c>
      <c r="I755" s="4">
        <v>26.14</v>
      </c>
      <c r="J755" s="4">
        <v>67.599999999999994</v>
      </c>
      <c r="K755" s="4">
        <v>220.28</v>
      </c>
      <c r="L755">
        <f t="shared" si="22"/>
        <v>2026</v>
      </c>
      <c r="M755">
        <f t="shared" si="23"/>
        <v>1</v>
      </c>
    </row>
    <row r="756" spans="1:13" ht="15" customHeight="1" x14ac:dyDescent="0.2">
      <c r="A756" s="3">
        <v>46080</v>
      </c>
      <c r="B756" t="s">
        <v>813</v>
      </c>
      <c r="C756" t="s">
        <v>31</v>
      </c>
      <c r="D756" t="s">
        <v>35</v>
      </c>
      <c r="E756" s="4">
        <v>999</v>
      </c>
      <c r="F756" s="4">
        <v>144.86000000000001</v>
      </c>
      <c r="G756" s="4">
        <v>861.21</v>
      </c>
      <c r="H756" s="4">
        <v>21.53</v>
      </c>
      <c r="I756" s="4">
        <v>68.900000000000006</v>
      </c>
      <c r="J756" s="4">
        <v>74.5</v>
      </c>
      <c r="K756" s="4">
        <v>689.22</v>
      </c>
      <c r="L756">
        <f t="shared" si="22"/>
        <v>2026</v>
      </c>
      <c r="M756">
        <f t="shared" si="23"/>
        <v>1</v>
      </c>
    </row>
    <row r="757" spans="1:13" ht="15" customHeight="1" x14ac:dyDescent="0.2">
      <c r="A757" s="3">
        <v>46080</v>
      </c>
      <c r="B757" t="s">
        <v>814</v>
      </c>
      <c r="C757" t="s">
        <v>726</v>
      </c>
      <c r="D757" t="s">
        <v>38</v>
      </c>
      <c r="E757" s="4">
        <v>379.05</v>
      </c>
      <c r="F757" s="4">
        <v>56.86</v>
      </c>
      <c r="G757" s="4">
        <v>326.77</v>
      </c>
      <c r="H757" s="4">
        <v>8.17</v>
      </c>
      <c r="I757" s="4">
        <v>26.14</v>
      </c>
      <c r="J757" s="4">
        <v>67.599999999999994</v>
      </c>
      <c r="K757" s="4">
        <v>220.28</v>
      </c>
      <c r="L757">
        <f t="shared" si="22"/>
        <v>2026</v>
      </c>
      <c r="M757">
        <f t="shared" si="23"/>
        <v>1</v>
      </c>
    </row>
    <row r="758" spans="1:13" ht="15" customHeight="1" x14ac:dyDescent="0.2">
      <c r="A758" s="3">
        <v>46082</v>
      </c>
      <c r="B758" t="s">
        <v>815</v>
      </c>
      <c r="C758" t="s">
        <v>770</v>
      </c>
      <c r="D758" t="s">
        <v>38</v>
      </c>
      <c r="E758" s="4">
        <v>379.05</v>
      </c>
      <c r="F758" s="4">
        <v>56.86</v>
      </c>
      <c r="G758" s="4">
        <v>326.77</v>
      </c>
      <c r="H758" s="4">
        <v>8.17</v>
      </c>
      <c r="I758" s="4">
        <v>26.14</v>
      </c>
      <c r="J758" s="4">
        <v>82.4</v>
      </c>
      <c r="K758" s="4">
        <v>205.48</v>
      </c>
      <c r="L758">
        <f t="shared" si="22"/>
        <v>2026</v>
      </c>
      <c r="M758">
        <f t="shared" si="23"/>
        <v>1</v>
      </c>
    </row>
    <row r="759" spans="1:13" ht="15" customHeight="1" x14ac:dyDescent="0.2">
      <c r="A759" s="3">
        <v>46082</v>
      </c>
      <c r="B759" t="s">
        <v>816</v>
      </c>
      <c r="C759" t="s">
        <v>31</v>
      </c>
      <c r="D759" t="s">
        <v>35</v>
      </c>
      <c r="E759" s="4">
        <v>999</v>
      </c>
      <c r="F759" s="4">
        <v>144.86000000000001</v>
      </c>
      <c r="G759" s="4">
        <v>861.21</v>
      </c>
      <c r="H759" s="4">
        <v>21.53</v>
      </c>
      <c r="I759" s="4">
        <v>68.900000000000006</v>
      </c>
      <c r="J759" s="4">
        <v>74.5</v>
      </c>
      <c r="K759" s="4">
        <v>689.22</v>
      </c>
      <c r="L759">
        <f t="shared" si="22"/>
        <v>2026</v>
      </c>
      <c r="M759">
        <f t="shared" si="23"/>
        <v>1</v>
      </c>
    </row>
    <row r="760" spans="1:13" ht="15" customHeight="1" x14ac:dyDescent="0.2">
      <c r="A760" s="3">
        <v>46082</v>
      </c>
      <c r="B760" t="s">
        <v>817</v>
      </c>
      <c r="C760" t="s">
        <v>31</v>
      </c>
      <c r="D760" t="s">
        <v>33</v>
      </c>
      <c r="E760" s="4">
        <v>999</v>
      </c>
      <c r="F760" s="4">
        <v>144.86000000000001</v>
      </c>
      <c r="G760" s="4">
        <v>861.21</v>
      </c>
      <c r="H760" s="4">
        <v>21.53</v>
      </c>
      <c r="I760" s="4">
        <v>68.900000000000006</v>
      </c>
      <c r="J760" s="4">
        <v>74.5</v>
      </c>
      <c r="K760" s="4">
        <v>689.22</v>
      </c>
      <c r="L760">
        <f t="shared" si="22"/>
        <v>2026</v>
      </c>
      <c r="M760">
        <f t="shared" si="23"/>
        <v>1</v>
      </c>
    </row>
    <row r="761" spans="1:13" ht="15" customHeight="1" x14ac:dyDescent="0.2">
      <c r="A761" s="3">
        <v>46082</v>
      </c>
      <c r="B761" t="s">
        <v>818</v>
      </c>
      <c r="C761" t="s">
        <v>541</v>
      </c>
      <c r="D761" t="s">
        <v>56</v>
      </c>
      <c r="E761" s="4">
        <v>379.05</v>
      </c>
      <c r="F761" s="4">
        <v>56.86</v>
      </c>
      <c r="G761" s="4">
        <v>326.77</v>
      </c>
      <c r="H761" s="4">
        <v>8.17</v>
      </c>
      <c r="I761" s="4">
        <v>26.14</v>
      </c>
      <c r="J761" s="4">
        <v>82.4</v>
      </c>
      <c r="K761" s="4">
        <v>205.48</v>
      </c>
      <c r="L761">
        <f t="shared" si="22"/>
        <v>2026</v>
      </c>
      <c r="M761">
        <f t="shared" si="23"/>
        <v>1</v>
      </c>
    </row>
    <row r="762" spans="1:13" ht="15" customHeight="1" x14ac:dyDescent="0.2">
      <c r="A762" s="3">
        <v>46082</v>
      </c>
      <c r="B762" t="s">
        <v>819</v>
      </c>
      <c r="C762" t="s">
        <v>90</v>
      </c>
      <c r="D762" t="s">
        <v>21</v>
      </c>
      <c r="E762" s="4">
        <v>308.20999999999998</v>
      </c>
      <c r="F762" s="4">
        <v>44.69</v>
      </c>
      <c r="G762" s="4">
        <v>265.7</v>
      </c>
      <c r="H762" s="4">
        <v>6.64</v>
      </c>
      <c r="I762" s="4">
        <v>21.26</v>
      </c>
      <c r="J762" s="4">
        <v>52.4</v>
      </c>
      <c r="K762" s="4">
        <v>183.22</v>
      </c>
      <c r="L762">
        <f t="shared" si="22"/>
        <v>2026</v>
      </c>
      <c r="M762">
        <f t="shared" si="23"/>
        <v>1</v>
      </c>
    </row>
    <row r="763" spans="1:13" ht="15" customHeight="1" x14ac:dyDescent="0.2">
      <c r="A763" s="3">
        <v>46084</v>
      </c>
      <c r="B763" t="s">
        <v>820</v>
      </c>
      <c r="C763" t="s">
        <v>726</v>
      </c>
      <c r="D763" t="s">
        <v>38</v>
      </c>
      <c r="E763" s="4">
        <v>379.05</v>
      </c>
      <c r="F763" s="4">
        <v>56.86</v>
      </c>
      <c r="G763" s="4">
        <v>326.77</v>
      </c>
      <c r="H763" s="4">
        <v>8.17</v>
      </c>
      <c r="I763" s="4">
        <v>26.14</v>
      </c>
      <c r="J763" s="4">
        <v>82.4</v>
      </c>
      <c r="K763" s="4">
        <v>205.48</v>
      </c>
      <c r="L763">
        <f t="shared" si="22"/>
        <v>2026</v>
      </c>
      <c r="M763">
        <f t="shared" si="23"/>
        <v>1</v>
      </c>
    </row>
    <row r="764" spans="1:13" ht="15" customHeight="1" x14ac:dyDescent="0.2">
      <c r="A764" s="3">
        <v>46084</v>
      </c>
      <c r="B764" t="s">
        <v>821</v>
      </c>
      <c r="C764" t="s">
        <v>711</v>
      </c>
      <c r="D764" t="s">
        <v>33</v>
      </c>
      <c r="E764" s="4">
        <v>379.05</v>
      </c>
      <c r="F764" s="4">
        <v>56.86</v>
      </c>
      <c r="G764" s="4">
        <v>326.77</v>
      </c>
      <c r="H764" s="4">
        <v>8.17</v>
      </c>
      <c r="I764" s="4">
        <v>26.14</v>
      </c>
      <c r="J764" s="4">
        <v>82.4</v>
      </c>
      <c r="K764" s="4">
        <v>205.48</v>
      </c>
      <c r="L764">
        <f t="shared" si="22"/>
        <v>2026</v>
      </c>
      <c r="M764">
        <f t="shared" si="23"/>
        <v>1</v>
      </c>
    </row>
    <row r="765" spans="1:13" ht="15" customHeight="1" x14ac:dyDescent="0.2">
      <c r="A765" s="3">
        <v>46084</v>
      </c>
      <c r="B765" t="s">
        <v>812</v>
      </c>
      <c r="C765" t="s">
        <v>726</v>
      </c>
      <c r="D765" t="s">
        <v>24</v>
      </c>
      <c r="E765" s="4">
        <v>379.05</v>
      </c>
      <c r="F765" s="4">
        <v>56.86</v>
      </c>
      <c r="G765" s="4">
        <v>326.77</v>
      </c>
      <c r="H765" s="4">
        <v>8.17</v>
      </c>
      <c r="I765" s="4">
        <v>26.14</v>
      </c>
      <c r="J765" s="4">
        <v>82.4</v>
      </c>
      <c r="K765" s="4">
        <v>205.48</v>
      </c>
      <c r="L765">
        <f t="shared" si="22"/>
        <v>2026</v>
      </c>
      <c r="M765">
        <f t="shared" si="23"/>
        <v>1</v>
      </c>
    </row>
    <row r="766" spans="1:13" ht="15" customHeight="1" x14ac:dyDescent="0.2">
      <c r="A766" s="3">
        <v>46084</v>
      </c>
      <c r="B766" t="s">
        <v>822</v>
      </c>
      <c r="C766" t="s">
        <v>688</v>
      </c>
      <c r="D766" t="s">
        <v>164</v>
      </c>
      <c r="E766" s="4">
        <v>533.5</v>
      </c>
      <c r="F766" s="4">
        <v>104.03</v>
      </c>
      <c r="G766" s="4">
        <v>459.91</v>
      </c>
      <c r="H766" s="4">
        <v>11.5</v>
      </c>
      <c r="I766" s="4">
        <v>36.79</v>
      </c>
      <c r="J766" s="4">
        <v>103</v>
      </c>
      <c r="K766" s="4">
        <v>278.18</v>
      </c>
      <c r="L766">
        <f t="shared" si="22"/>
        <v>2026</v>
      </c>
      <c r="M766">
        <f t="shared" si="23"/>
        <v>1</v>
      </c>
    </row>
    <row r="767" spans="1:13" ht="15" customHeight="1" x14ac:dyDescent="0.2">
      <c r="A767" s="3">
        <v>46084</v>
      </c>
      <c r="B767" t="s">
        <v>823</v>
      </c>
      <c r="C767" t="s">
        <v>515</v>
      </c>
      <c r="D767" t="s">
        <v>93</v>
      </c>
      <c r="E767" s="4">
        <v>379.05</v>
      </c>
      <c r="F767" s="4">
        <v>56.86</v>
      </c>
      <c r="G767" s="4">
        <v>326.77</v>
      </c>
      <c r="H767" s="4">
        <v>8.17</v>
      </c>
      <c r="I767" s="4">
        <v>26.14</v>
      </c>
      <c r="J767" s="4">
        <v>82.4</v>
      </c>
      <c r="K767" s="4">
        <v>205.48</v>
      </c>
      <c r="L767">
        <f t="shared" si="22"/>
        <v>2026</v>
      </c>
      <c r="M767">
        <f t="shared" si="23"/>
        <v>1</v>
      </c>
    </row>
    <row r="768" spans="1:13" ht="15" customHeight="1" x14ac:dyDescent="0.2">
      <c r="A768" s="3">
        <v>46084</v>
      </c>
      <c r="B768" t="s">
        <v>824</v>
      </c>
      <c r="C768" t="s">
        <v>515</v>
      </c>
      <c r="D768" t="s">
        <v>93</v>
      </c>
      <c r="E768" s="4">
        <v>758.1</v>
      </c>
      <c r="F768" s="4">
        <v>113.72</v>
      </c>
      <c r="G768" s="4">
        <v>653.53</v>
      </c>
      <c r="H768" s="4">
        <v>16.34</v>
      </c>
      <c r="I768" s="4">
        <v>52.28</v>
      </c>
      <c r="J768" s="4">
        <v>135.19999999999999</v>
      </c>
      <c r="K768" s="4">
        <v>440.56</v>
      </c>
      <c r="L768">
        <f t="shared" si="22"/>
        <v>2026</v>
      </c>
      <c r="M768">
        <f t="shared" si="23"/>
        <v>1</v>
      </c>
    </row>
    <row r="769" spans="1:13" ht="15" customHeight="1" x14ac:dyDescent="0.2">
      <c r="A769" s="3">
        <v>46084</v>
      </c>
      <c r="B769" t="s">
        <v>825</v>
      </c>
      <c r="C769" t="s">
        <v>458</v>
      </c>
      <c r="D769" t="s">
        <v>65</v>
      </c>
      <c r="E769" s="4">
        <v>1706.42</v>
      </c>
      <c r="F769" s="4">
        <v>247.43</v>
      </c>
      <c r="G769" s="4">
        <v>1471.05</v>
      </c>
      <c r="H769" s="4">
        <v>36.78</v>
      </c>
      <c r="I769" s="4">
        <v>117.68</v>
      </c>
      <c r="J769" s="4">
        <v>74.5</v>
      </c>
      <c r="K769" s="4">
        <v>1230.03</v>
      </c>
      <c r="L769">
        <f t="shared" si="22"/>
        <v>2026</v>
      </c>
      <c r="M769">
        <f t="shared" si="23"/>
        <v>1</v>
      </c>
    </row>
    <row r="770" spans="1:13" ht="15" customHeight="1" x14ac:dyDescent="0.2">
      <c r="A770" s="3">
        <v>46086</v>
      </c>
      <c r="B770" t="s">
        <v>826</v>
      </c>
      <c r="C770" t="s">
        <v>31</v>
      </c>
      <c r="D770" t="s">
        <v>109</v>
      </c>
      <c r="E770" s="4">
        <v>999</v>
      </c>
      <c r="F770" s="4">
        <v>99.9</v>
      </c>
      <c r="G770" s="4">
        <v>861.21</v>
      </c>
      <c r="H770" s="4">
        <v>21.53</v>
      </c>
      <c r="I770" s="4">
        <v>68.900000000000006</v>
      </c>
      <c r="J770" s="4">
        <v>74.5</v>
      </c>
      <c r="K770" s="4">
        <v>734.17</v>
      </c>
      <c r="L770">
        <f t="shared" ref="L770:L833" si="24">YEAR(A770)</f>
        <v>2026</v>
      </c>
      <c r="M770">
        <f t="shared" ref="M770:M833" si="25">ROUNDUP(MONTH(A770)/3,0)</f>
        <v>1</v>
      </c>
    </row>
    <row r="771" spans="1:13" ht="15" customHeight="1" x14ac:dyDescent="0.2">
      <c r="A771" s="3">
        <v>46086</v>
      </c>
      <c r="B771" t="s">
        <v>827</v>
      </c>
      <c r="C771" t="s">
        <v>67</v>
      </c>
      <c r="D771" t="s">
        <v>21</v>
      </c>
      <c r="E771" s="4">
        <v>1599</v>
      </c>
      <c r="F771" s="4">
        <v>231.86</v>
      </c>
      <c r="G771" s="4">
        <v>1378.45</v>
      </c>
      <c r="H771" s="4">
        <v>34.46</v>
      </c>
      <c r="I771" s="4">
        <v>110.28</v>
      </c>
      <c r="J771" s="4">
        <v>74.5</v>
      </c>
      <c r="K771" s="4">
        <v>1147.9100000000001</v>
      </c>
      <c r="L771">
        <f t="shared" si="24"/>
        <v>2026</v>
      </c>
      <c r="M771">
        <f t="shared" si="25"/>
        <v>1</v>
      </c>
    </row>
    <row r="772" spans="1:13" ht="15" customHeight="1" x14ac:dyDescent="0.2">
      <c r="A772" s="3">
        <v>46088</v>
      </c>
      <c r="B772" t="s">
        <v>828</v>
      </c>
      <c r="C772" t="s">
        <v>541</v>
      </c>
      <c r="D772" t="s">
        <v>33</v>
      </c>
      <c r="E772" s="4">
        <v>379.05</v>
      </c>
      <c r="F772" s="4">
        <v>56.86</v>
      </c>
      <c r="G772" s="4">
        <v>326.77</v>
      </c>
      <c r="H772" s="4">
        <v>8.17</v>
      </c>
      <c r="I772" s="4">
        <v>26.14</v>
      </c>
      <c r="J772" s="4">
        <v>82.4</v>
      </c>
      <c r="K772" s="4">
        <v>205.48</v>
      </c>
      <c r="L772">
        <f t="shared" si="24"/>
        <v>2026</v>
      </c>
      <c r="M772">
        <f t="shared" si="25"/>
        <v>1</v>
      </c>
    </row>
    <row r="773" spans="1:13" ht="15" customHeight="1" x14ac:dyDescent="0.2">
      <c r="A773" s="3">
        <v>46088</v>
      </c>
      <c r="B773" t="s">
        <v>829</v>
      </c>
      <c r="C773" t="s">
        <v>770</v>
      </c>
      <c r="D773" t="s">
        <v>38</v>
      </c>
      <c r="E773" s="4">
        <v>379.05</v>
      </c>
      <c r="F773" s="4">
        <v>56.86</v>
      </c>
      <c r="G773" s="4">
        <v>326.77</v>
      </c>
      <c r="H773" s="4">
        <v>8.17</v>
      </c>
      <c r="I773" s="4">
        <v>26.14</v>
      </c>
      <c r="J773" s="4">
        <v>82.4</v>
      </c>
      <c r="K773" s="4">
        <v>205.48</v>
      </c>
      <c r="L773">
        <f t="shared" si="24"/>
        <v>2026</v>
      </c>
      <c r="M773">
        <f t="shared" si="25"/>
        <v>1</v>
      </c>
    </row>
    <row r="774" spans="1:13" ht="15" customHeight="1" x14ac:dyDescent="0.2">
      <c r="A774" s="3">
        <v>46089</v>
      </c>
      <c r="B774" t="s">
        <v>830</v>
      </c>
      <c r="C774" t="s">
        <v>711</v>
      </c>
      <c r="D774" t="s">
        <v>33</v>
      </c>
      <c r="E774" s="4">
        <v>379.05</v>
      </c>
      <c r="F774" s="4">
        <v>56.86</v>
      </c>
      <c r="G774" s="4">
        <v>326.77</v>
      </c>
      <c r="H774" s="4">
        <v>8.17</v>
      </c>
      <c r="I774" s="4">
        <v>26.14</v>
      </c>
      <c r="J774" s="4">
        <v>82.4</v>
      </c>
      <c r="K774" s="4">
        <v>205.48</v>
      </c>
      <c r="L774">
        <f t="shared" si="24"/>
        <v>2026</v>
      </c>
      <c r="M774">
        <f t="shared" si="25"/>
        <v>1</v>
      </c>
    </row>
    <row r="775" spans="1:13" ht="15" customHeight="1" x14ac:dyDescent="0.2">
      <c r="A775" s="3">
        <v>46091</v>
      </c>
      <c r="B775" t="s">
        <v>831</v>
      </c>
      <c r="C775" t="s">
        <v>515</v>
      </c>
      <c r="D775" t="s">
        <v>65</v>
      </c>
      <c r="E775" s="4">
        <v>379.05</v>
      </c>
      <c r="F775" s="4">
        <v>56.86</v>
      </c>
      <c r="G775" s="4">
        <v>326.77</v>
      </c>
      <c r="H775" s="4">
        <v>8.17</v>
      </c>
      <c r="I775" s="4">
        <v>26.14</v>
      </c>
      <c r="J775" s="4">
        <v>67.599999999999994</v>
      </c>
      <c r="K775" s="4">
        <v>220.28</v>
      </c>
      <c r="L775">
        <f t="shared" si="24"/>
        <v>2026</v>
      </c>
      <c r="M775">
        <f t="shared" si="25"/>
        <v>1</v>
      </c>
    </row>
    <row r="776" spans="1:13" ht="15" customHeight="1" x14ac:dyDescent="0.2">
      <c r="A776" s="3">
        <v>46091</v>
      </c>
      <c r="B776" t="s">
        <v>832</v>
      </c>
      <c r="C776" t="s">
        <v>726</v>
      </c>
      <c r="D776" t="s">
        <v>93</v>
      </c>
      <c r="E776" s="4">
        <v>379.05</v>
      </c>
      <c r="F776" s="4">
        <v>56.86</v>
      </c>
      <c r="G776" s="4">
        <v>326.77</v>
      </c>
      <c r="H776" s="4">
        <v>8.17</v>
      </c>
      <c r="I776" s="4">
        <v>26.14</v>
      </c>
      <c r="J776" s="4">
        <v>67.599999999999994</v>
      </c>
      <c r="K776" s="4">
        <v>220.28</v>
      </c>
      <c r="L776">
        <f t="shared" si="24"/>
        <v>2026</v>
      </c>
      <c r="M776">
        <f t="shared" si="25"/>
        <v>1</v>
      </c>
    </row>
    <row r="777" spans="1:13" ht="15" customHeight="1" x14ac:dyDescent="0.2">
      <c r="A777" s="3">
        <v>46093</v>
      </c>
      <c r="B777" t="s">
        <v>833</v>
      </c>
      <c r="C777" t="s">
        <v>726</v>
      </c>
      <c r="D777" t="s">
        <v>164</v>
      </c>
      <c r="E777" s="4">
        <v>379.05</v>
      </c>
      <c r="F777" s="4">
        <v>56.86</v>
      </c>
      <c r="G777" s="4">
        <v>326.77</v>
      </c>
      <c r="H777" s="4">
        <v>8.17</v>
      </c>
      <c r="I777" s="4">
        <v>26.14</v>
      </c>
      <c r="J777" s="4">
        <v>67.599999999999994</v>
      </c>
      <c r="K777" s="4">
        <v>220.28</v>
      </c>
      <c r="L777">
        <f t="shared" si="24"/>
        <v>2026</v>
      </c>
      <c r="M777">
        <f t="shared" si="25"/>
        <v>1</v>
      </c>
    </row>
    <row r="778" spans="1:13" ht="15" customHeight="1" x14ac:dyDescent="0.2">
      <c r="A778" s="3">
        <v>46093</v>
      </c>
      <c r="B778" t="s">
        <v>834</v>
      </c>
      <c r="C778" t="s">
        <v>726</v>
      </c>
      <c r="D778" t="s">
        <v>49</v>
      </c>
      <c r="E778" s="4">
        <v>379.05</v>
      </c>
      <c r="F778" s="4">
        <v>56.86</v>
      </c>
      <c r="G778" s="4">
        <v>326.77</v>
      </c>
      <c r="H778" s="4">
        <v>8.17</v>
      </c>
      <c r="I778" s="4">
        <v>26.14</v>
      </c>
      <c r="J778" s="4">
        <v>67.599999999999994</v>
      </c>
      <c r="K778" s="4">
        <v>220.28</v>
      </c>
      <c r="L778">
        <f t="shared" si="24"/>
        <v>2026</v>
      </c>
      <c r="M778">
        <f t="shared" si="25"/>
        <v>1</v>
      </c>
    </row>
    <row r="779" spans="1:13" ht="15" customHeight="1" x14ac:dyDescent="0.2">
      <c r="A779" s="3">
        <v>46093</v>
      </c>
      <c r="B779" t="s">
        <v>835</v>
      </c>
      <c r="C779" t="s">
        <v>115</v>
      </c>
      <c r="D779" t="s">
        <v>143</v>
      </c>
      <c r="E779" s="4">
        <v>1709.1</v>
      </c>
      <c r="F779" s="4">
        <v>247.82</v>
      </c>
      <c r="G779" s="4">
        <v>1473.36</v>
      </c>
      <c r="H779" s="4">
        <v>36.83</v>
      </c>
      <c r="I779" s="4">
        <v>117.87</v>
      </c>
      <c r="J779" s="4">
        <v>74.5</v>
      </c>
      <c r="K779" s="4">
        <v>1232.08</v>
      </c>
      <c r="L779">
        <f t="shared" si="24"/>
        <v>2026</v>
      </c>
      <c r="M779">
        <f t="shared" si="25"/>
        <v>1</v>
      </c>
    </row>
    <row r="780" spans="1:13" ht="15" customHeight="1" x14ac:dyDescent="0.2">
      <c r="A780" s="3">
        <v>46097</v>
      </c>
      <c r="B780" t="s">
        <v>836</v>
      </c>
      <c r="C780" t="s">
        <v>541</v>
      </c>
      <c r="D780" t="s">
        <v>35</v>
      </c>
      <c r="E780" s="4">
        <v>379.05</v>
      </c>
      <c r="F780" s="4">
        <v>56.86</v>
      </c>
      <c r="G780" s="4">
        <v>326.77</v>
      </c>
      <c r="H780" s="4">
        <v>8.17</v>
      </c>
      <c r="I780" s="4">
        <v>26.14</v>
      </c>
      <c r="J780" s="4">
        <v>67.599999999999994</v>
      </c>
      <c r="K780" s="4">
        <v>220.28</v>
      </c>
      <c r="L780">
        <f t="shared" si="24"/>
        <v>2026</v>
      </c>
      <c r="M780">
        <f t="shared" si="25"/>
        <v>1</v>
      </c>
    </row>
    <row r="781" spans="1:13" ht="15" customHeight="1" x14ac:dyDescent="0.2">
      <c r="A781" s="3">
        <v>46097</v>
      </c>
      <c r="B781" t="s">
        <v>837</v>
      </c>
      <c r="C781" t="s">
        <v>76</v>
      </c>
      <c r="D781" t="s">
        <v>38</v>
      </c>
      <c r="E781" s="4">
        <v>1844.1</v>
      </c>
      <c r="F781" s="4">
        <v>267.39</v>
      </c>
      <c r="G781" s="4">
        <v>1589.74</v>
      </c>
      <c r="H781" s="4">
        <v>39.74</v>
      </c>
      <c r="I781" s="4">
        <v>127.18</v>
      </c>
      <c r="J781" s="4">
        <v>74.5</v>
      </c>
      <c r="K781" s="4">
        <v>1335.28</v>
      </c>
      <c r="L781">
        <f t="shared" si="24"/>
        <v>2026</v>
      </c>
      <c r="M781">
        <f t="shared" si="25"/>
        <v>1</v>
      </c>
    </row>
    <row r="782" spans="1:13" ht="15" customHeight="1" x14ac:dyDescent="0.2">
      <c r="A782" s="3">
        <v>46097</v>
      </c>
      <c r="B782" t="s">
        <v>838</v>
      </c>
      <c r="C782" t="s">
        <v>115</v>
      </c>
      <c r="D782" t="s">
        <v>42</v>
      </c>
      <c r="E782" s="4">
        <v>1709.1</v>
      </c>
      <c r="F782" s="4">
        <v>247.82</v>
      </c>
      <c r="G782" s="4">
        <v>1473.36</v>
      </c>
      <c r="H782" s="4">
        <v>36.83</v>
      </c>
      <c r="I782" s="4">
        <v>117.87</v>
      </c>
      <c r="J782" s="4">
        <v>74.5</v>
      </c>
      <c r="K782" s="4">
        <v>1232.08</v>
      </c>
      <c r="L782">
        <f t="shared" si="24"/>
        <v>2026</v>
      </c>
      <c r="M782">
        <f t="shared" si="25"/>
        <v>1</v>
      </c>
    </row>
    <row r="783" spans="1:13" ht="15" customHeight="1" x14ac:dyDescent="0.2">
      <c r="A783" s="3">
        <v>46097</v>
      </c>
      <c r="B783" t="s">
        <v>839</v>
      </c>
      <c r="C783" t="s">
        <v>541</v>
      </c>
      <c r="D783" t="s">
        <v>93</v>
      </c>
      <c r="E783" s="4">
        <v>379.05</v>
      </c>
      <c r="F783" s="4">
        <v>56.86</v>
      </c>
      <c r="G783" s="4">
        <v>326.77</v>
      </c>
      <c r="H783" s="4">
        <v>8.17</v>
      </c>
      <c r="I783" s="4">
        <v>26.14</v>
      </c>
      <c r="J783" s="4">
        <v>67.599999999999994</v>
      </c>
      <c r="K783" s="4">
        <v>220.28</v>
      </c>
      <c r="L783">
        <f t="shared" si="24"/>
        <v>2026</v>
      </c>
      <c r="M783">
        <f t="shared" si="25"/>
        <v>1</v>
      </c>
    </row>
    <row r="784" spans="1:13" ht="15" customHeight="1" x14ac:dyDescent="0.2">
      <c r="A784" s="3">
        <v>46097</v>
      </c>
      <c r="B784" t="s">
        <v>840</v>
      </c>
      <c r="C784" t="s">
        <v>726</v>
      </c>
      <c r="D784" t="s">
        <v>38</v>
      </c>
      <c r="E784" s="4">
        <v>379.05</v>
      </c>
      <c r="F784" s="4">
        <v>56.86</v>
      </c>
      <c r="G784" s="4">
        <v>326.77</v>
      </c>
      <c r="H784" s="4">
        <v>8.17</v>
      </c>
      <c r="I784" s="4">
        <v>26.14</v>
      </c>
      <c r="J784" s="4">
        <v>67.599999999999994</v>
      </c>
      <c r="K784" s="4">
        <v>220.28</v>
      </c>
      <c r="L784">
        <f t="shared" si="24"/>
        <v>2026</v>
      </c>
      <c r="M784">
        <f t="shared" si="25"/>
        <v>1</v>
      </c>
    </row>
    <row r="785" spans="1:13" ht="15" customHeight="1" x14ac:dyDescent="0.2">
      <c r="A785" s="3">
        <v>46097</v>
      </c>
      <c r="B785" t="s">
        <v>841</v>
      </c>
      <c r="C785" t="s">
        <v>515</v>
      </c>
      <c r="D785" t="s">
        <v>38</v>
      </c>
      <c r="E785" s="4">
        <v>379.05</v>
      </c>
      <c r="F785" s="4">
        <v>56.86</v>
      </c>
      <c r="G785" s="4">
        <v>326.77</v>
      </c>
      <c r="H785" s="4">
        <v>8.17</v>
      </c>
      <c r="I785" s="4">
        <v>26.14</v>
      </c>
      <c r="J785" s="4">
        <v>67.599999999999994</v>
      </c>
      <c r="K785" s="4">
        <v>220.28</v>
      </c>
      <c r="L785">
        <f t="shared" si="24"/>
        <v>2026</v>
      </c>
      <c r="M785">
        <f t="shared" si="25"/>
        <v>1</v>
      </c>
    </row>
    <row r="786" spans="1:13" ht="15" customHeight="1" x14ac:dyDescent="0.2">
      <c r="A786" s="3">
        <v>46098</v>
      </c>
      <c r="B786" t="s">
        <v>842</v>
      </c>
      <c r="C786" t="s">
        <v>726</v>
      </c>
      <c r="D786" t="s">
        <v>93</v>
      </c>
      <c r="E786" s="4">
        <v>379.05</v>
      </c>
      <c r="F786" s="4">
        <v>56.86</v>
      </c>
      <c r="G786" s="4">
        <v>326.77</v>
      </c>
      <c r="H786" s="4">
        <v>8.17</v>
      </c>
      <c r="I786" s="4">
        <v>26.14</v>
      </c>
      <c r="J786" s="4">
        <v>67.599999999999994</v>
      </c>
      <c r="K786" s="4">
        <v>220.28</v>
      </c>
      <c r="L786">
        <f t="shared" si="24"/>
        <v>2026</v>
      </c>
      <c r="M786">
        <f t="shared" si="25"/>
        <v>1</v>
      </c>
    </row>
    <row r="787" spans="1:13" ht="15" customHeight="1" x14ac:dyDescent="0.2">
      <c r="A787" s="3">
        <v>46099</v>
      </c>
      <c r="B787" t="s">
        <v>843</v>
      </c>
      <c r="C787" t="s">
        <v>726</v>
      </c>
      <c r="D787" t="s">
        <v>93</v>
      </c>
      <c r="E787" s="4">
        <v>379.05</v>
      </c>
      <c r="F787" s="4">
        <v>56.86</v>
      </c>
      <c r="G787" s="4">
        <v>326.77</v>
      </c>
      <c r="H787" s="4">
        <v>8.17</v>
      </c>
      <c r="I787" s="4">
        <v>26.14</v>
      </c>
      <c r="J787" s="4">
        <v>67.599999999999994</v>
      </c>
      <c r="K787" s="4">
        <v>220.28</v>
      </c>
      <c r="L787">
        <f t="shared" si="24"/>
        <v>2026</v>
      </c>
      <c r="M787">
        <f t="shared" si="25"/>
        <v>1</v>
      </c>
    </row>
    <row r="788" spans="1:13" ht="15" customHeight="1" x14ac:dyDescent="0.2">
      <c r="A788" s="3">
        <v>46103</v>
      </c>
      <c r="B788" t="s">
        <v>844</v>
      </c>
      <c r="C788" t="s">
        <v>31</v>
      </c>
      <c r="D788" t="s">
        <v>81</v>
      </c>
      <c r="E788" s="4">
        <v>1064</v>
      </c>
      <c r="F788" s="4">
        <v>154.28</v>
      </c>
      <c r="G788" s="4">
        <v>917.24</v>
      </c>
      <c r="H788" s="4">
        <v>22.93</v>
      </c>
      <c r="I788" s="4">
        <v>73.38</v>
      </c>
      <c r="J788" s="4">
        <v>74.5</v>
      </c>
      <c r="K788" s="4">
        <v>738.91</v>
      </c>
      <c r="L788">
        <f t="shared" si="24"/>
        <v>2026</v>
      </c>
      <c r="M788">
        <f t="shared" si="25"/>
        <v>1</v>
      </c>
    </row>
    <row r="789" spans="1:13" ht="15" customHeight="1" x14ac:dyDescent="0.2">
      <c r="A789" s="3">
        <v>46105</v>
      </c>
      <c r="B789" t="s">
        <v>845</v>
      </c>
      <c r="C789" t="s">
        <v>307</v>
      </c>
      <c r="D789" t="s">
        <v>38</v>
      </c>
      <c r="E789" s="4">
        <v>299</v>
      </c>
      <c r="F789" s="4">
        <v>58.31</v>
      </c>
      <c r="G789" s="4">
        <v>257.76</v>
      </c>
      <c r="H789" s="4">
        <v>6.44</v>
      </c>
      <c r="I789" s="4">
        <v>20.62</v>
      </c>
      <c r="J789" s="4">
        <v>67.599999999999994</v>
      </c>
      <c r="K789" s="4">
        <v>146.03</v>
      </c>
      <c r="L789">
        <f t="shared" si="24"/>
        <v>2026</v>
      </c>
      <c r="M789">
        <f t="shared" si="25"/>
        <v>1</v>
      </c>
    </row>
    <row r="790" spans="1:13" ht="15" customHeight="1" x14ac:dyDescent="0.2">
      <c r="A790" s="3">
        <v>46108</v>
      </c>
      <c r="B790" t="s">
        <v>846</v>
      </c>
      <c r="C790" t="s">
        <v>238</v>
      </c>
      <c r="D790" t="s">
        <v>38</v>
      </c>
      <c r="E790" s="4">
        <v>84.55</v>
      </c>
      <c r="F790" s="4">
        <v>41.49</v>
      </c>
      <c r="G790" s="4">
        <v>72.89</v>
      </c>
      <c r="H790" s="4">
        <v>1.82</v>
      </c>
      <c r="I790" s="4">
        <v>5.83</v>
      </c>
      <c r="J790" s="4">
        <v>0</v>
      </c>
      <c r="K790" s="4">
        <v>35.409999999999997</v>
      </c>
      <c r="L790">
        <f t="shared" si="24"/>
        <v>2026</v>
      </c>
      <c r="M790">
        <f t="shared" si="25"/>
        <v>1</v>
      </c>
    </row>
    <row r="791" spans="1:13" ht="15" customHeight="1" x14ac:dyDescent="0.2">
      <c r="A791" s="3">
        <v>46111</v>
      </c>
      <c r="B791" t="s">
        <v>847</v>
      </c>
      <c r="C791" t="s">
        <v>848</v>
      </c>
      <c r="D791" t="s">
        <v>215</v>
      </c>
      <c r="E791" s="4">
        <v>379.05</v>
      </c>
      <c r="F791" s="4">
        <v>56.86</v>
      </c>
      <c r="G791" s="4">
        <v>326.77</v>
      </c>
      <c r="H791" s="4">
        <v>8.17</v>
      </c>
      <c r="I791" s="4">
        <v>26.14</v>
      </c>
      <c r="J791" s="4">
        <v>67.599999999999994</v>
      </c>
      <c r="K791" s="4">
        <v>220.28</v>
      </c>
      <c r="L791">
        <f t="shared" si="24"/>
        <v>2026</v>
      </c>
      <c r="M791">
        <f t="shared" si="25"/>
        <v>1</v>
      </c>
    </row>
    <row r="792" spans="1:13" ht="15" customHeight="1" x14ac:dyDescent="0.2">
      <c r="A792" s="3">
        <v>46111</v>
      </c>
      <c r="B792" t="s">
        <v>849</v>
      </c>
      <c r="C792" t="s">
        <v>541</v>
      </c>
      <c r="D792" t="s">
        <v>38</v>
      </c>
      <c r="E792" s="4">
        <v>379.05</v>
      </c>
      <c r="F792" s="4">
        <v>56.86</v>
      </c>
      <c r="G792" s="4">
        <v>326.77</v>
      </c>
      <c r="H792" s="4">
        <v>8.17</v>
      </c>
      <c r="I792" s="4">
        <v>26.14</v>
      </c>
      <c r="J792" s="4">
        <v>67.599999999999994</v>
      </c>
      <c r="K792" s="4">
        <v>220.28</v>
      </c>
      <c r="L792">
        <f t="shared" si="24"/>
        <v>2026</v>
      </c>
      <c r="M792">
        <f t="shared" si="25"/>
        <v>1</v>
      </c>
    </row>
    <row r="793" spans="1:13" ht="15" customHeight="1" x14ac:dyDescent="0.2">
      <c r="A793" s="3">
        <v>46111</v>
      </c>
      <c r="B793" t="s">
        <v>849</v>
      </c>
      <c r="C793" t="s">
        <v>726</v>
      </c>
      <c r="D793" t="s">
        <v>38</v>
      </c>
      <c r="E793" s="4">
        <v>379.05</v>
      </c>
      <c r="F793" s="4">
        <v>56.86</v>
      </c>
      <c r="G793" s="4">
        <v>326.77</v>
      </c>
      <c r="H793" s="4">
        <v>8.17</v>
      </c>
      <c r="I793" s="4">
        <v>26.14</v>
      </c>
      <c r="J793" s="4">
        <v>67.599999999999994</v>
      </c>
      <c r="K793" s="4">
        <v>220.28</v>
      </c>
      <c r="L793">
        <f t="shared" si="24"/>
        <v>2026</v>
      </c>
      <c r="M793">
        <f t="shared" si="25"/>
        <v>1</v>
      </c>
    </row>
    <row r="794" spans="1:13" ht="15" customHeight="1" x14ac:dyDescent="0.2">
      <c r="A794" s="3">
        <v>46113</v>
      </c>
      <c r="B794" t="s">
        <v>850</v>
      </c>
      <c r="C794" t="s">
        <v>541</v>
      </c>
      <c r="D794" t="s">
        <v>93</v>
      </c>
      <c r="E794" s="4">
        <v>379.05</v>
      </c>
      <c r="F794" s="4">
        <v>56.86</v>
      </c>
      <c r="G794" s="4">
        <v>326.77</v>
      </c>
      <c r="H794" s="4">
        <v>8.17</v>
      </c>
      <c r="I794" s="4">
        <v>26.14</v>
      </c>
      <c r="J794" s="4">
        <v>67.599999999999994</v>
      </c>
      <c r="K794" s="4">
        <v>220.28</v>
      </c>
      <c r="L794">
        <f t="shared" si="24"/>
        <v>2026</v>
      </c>
      <c r="M794">
        <f t="shared" si="25"/>
        <v>2</v>
      </c>
    </row>
    <row r="795" spans="1:13" ht="15" customHeight="1" x14ac:dyDescent="0.2">
      <c r="A795" s="3">
        <v>46116</v>
      </c>
      <c r="B795" t="s">
        <v>851</v>
      </c>
      <c r="C795" t="s">
        <v>52</v>
      </c>
      <c r="D795" t="s">
        <v>65</v>
      </c>
      <c r="E795" s="4">
        <v>299.7</v>
      </c>
      <c r="F795" s="4">
        <v>58.44</v>
      </c>
      <c r="G795" s="4">
        <v>258.36</v>
      </c>
      <c r="H795" s="4">
        <v>6.46</v>
      </c>
      <c r="I795" s="4">
        <v>20.67</v>
      </c>
      <c r="J795" s="4">
        <v>76</v>
      </c>
      <c r="K795" s="4">
        <v>138.13</v>
      </c>
      <c r="L795">
        <f t="shared" si="24"/>
        <v>2026</v>
      </c>
      <c r="M795">
        <f t="shared" si="25"/>
        <v>2</v>
      </c>
    </row>
    <row r="796" spans="1:13" ht="15" customHeight="1" x14ac:dyDescent="0.2">
      <c r="A796" s="3">
        <v>46116</v>
      </c>
      <c r="B796" t="s">
        <v>851</v>
      </c>
      <c r="C796" t="s">
        <v>52</v>
      </c>
      <c r="D796" t="s">
        <v>65</v>
      </c>
      <c r="E796" s="4">
        <v>299.7</v>
      </c>
      <c r="F796" s="4">
        <v>58.44</v>
      </c>
      <c r="G796" s="4">
        <v>258.36</v>
      </c>
      <c r="H796" s="4">
        <v>6.46</v>
      </c>
      <c r="I796" s="4">
        <v>20.67</v>
      </c>
      <c r="J796" s="4">
        <v>76</v>
      </c>
      <c r="K796" s="4">
        <v>138.13</v>
      </c>
      <c r="L796">
        <f t="shared" si="24"/>
        <v>2026</v>
      </c>
      <c r="M796">
        <f t="shared" si="25"/>
        <v>2</v>
      </c>
    </row>
    <row r="797" spans="1:13" ht="15" customHeight="1" x14ac:dyDescent="0.2">
      <c r="A797" s="3">
        <v>46116</v>
      </c>
      <c r="B797" t="s">
        <v>852</v>
      </c>
      <c r="C797" t="s">
        <v>79</v>
      </c>
      <c r="D797" t="s">
        <v>93</v>
      </c>
      <c r="E797" s="4">
        <v>314.10000000000002</v>
      </c>
      <c r="F797" s="4">
        <v>61.25</v>
      </c>
      <c r="G797" s="4">
        <v>270.77999999999997</v>
      </c>
      <c r="H797" s="4">
        <v>6.77</v>
      </c>
      <c r="I797" s="4">
        <v>21.66</v>
      </c>
      <c r="J797" s="4">
        <v>67.599999999999994</v>
      </c>
      <c r="K797" s="4">
        <v>156.82</v>
      </c>
      <c r="L797">
        <f t="shared" si="24"/>
        <v>2026</v>
      </c>
      <c r="M797">
        <f t="shared" si="25"/>
        <v>2</v>
      </c>
    </row>
    <row r="798" spans="1:13" ht="15" customHeight="1" x14ac:dyDescent="0.2">
      <c r="A798" s="3">
        <v>46117</v>
      </c>
      <c r="B798" t="s">
        <v>853</v>
      </c>
      <c r="C798" t="s">
        <v>31</v>
      </c>
      <c r="D798" t="s">
        <v>85</v>
      </c>
      <c r="E798" s="4">
        <v>999</v>
      </c>
      <c r="F798" s="4">
        <v>99.9</v>
      </c>
      <c r="G798" s="4">
        <v>861.21</v>
      </c>
      <c r="H798" s="4">
        <v>21.53</v>
      </c>
      <c r="I798" s="4">
        <v>68.900000000000006</v>
      </c>
      <c r="J798" s="4">
        <v>74.5</v>
      </c>
      <c r="K798" s="4">
        <v>734.17</v>
      </c>
      <c r="L798">
        <f t="shared" si="24"/>
        <v>2026</v>
      </c>
      <c r="M798">
        <f t="shared" si="25"/>
        <v>2</v>
      </c>
    </row>
    <row r="799" spans="1:13" ht="15" customHeight="1" x14ac:dyDescent="0.2">
      <c r="A799" s="3">
        <v>46118</v>
      </c>
      <c r="B799" t="s">
        <v>854</v>
      </c>
      <c r="C799" t="s">
        <v>165</v>
      </c>
      <c r="D799" t="s">
        <v>33</v>
      </c>
      <c r="E799" s="4">
        <v>379.05</v>
      </c>
      <c r="F799" s="4">
        <v>54.96</v>
      </c>
      <c r="G799" s="4">
        <v>326.77</v>
      </c>
      <c r="H799" s="4">
        <v>8.17</v>
      </c>
      <c r="I799" s="4">
        <v>26.14</v>
      </c>
      <c r="J799" s="4">
        <v>59.6</v>
      </c>
      <c r="K799" s="4">
        <v>230.18</v>
      </c>
      <c r="L799">
        <f t="shared" si="24"/>
        <v>2026</v>
      </c>
      <c r="M799">
        <f t="shared" si="25"/>
        <v>2</v>
      </c>
    </row>
    <row r="800" spans="1:13" ht="15" customHeight="1" x14ac:dyDescent="0.2">
      <c r="A800" s="3">
        <v>46120</v>
      </c>
      <c r="B800" t="s">
        <v>855</v>
      </c>
      <c r="C800" t="s">
        <v>541</v>
      </c>
      <c r="D800" t="s">
        <v>38</v>
      </c>
      <c r="E800" s="4">
        <v>379.05</v>
      </c>
      <c r="F800" s="4">
        <v>73.91</v>
      </c>
      <c r="G800" s="4">
        <v>326.77</v>
      </c>
      <c r="H800" s="4">
        <v>8.17</v>
      </c>
      <c r="I800" s="4">
        <v>26.14</v>
      </c>
      <c r="J800" s="4">
        <v>67.599999999999994</v>
      </c>
      <c r="K800" s="4">
        <v>203.22</v>
      </c>
      <c r="L800">
        <f t="shared" si="24"/>
        <v>2026</v>
      </c>
      <c r="M800">
        <f t="shared" si="25"/>
        <v>2</v>
      </c>
    </row>
    <row r="801" spans="1:13" ht="15" customHeight="1" x14ac:dyDescent="0.2">
      <c r="A801" s="3">
        <v>46120</v>
      </c>
      <c r="B801" t="s">
        <v>856</v>
      </c>
      <c r="C801" t="s">
        <v>515</v>
      </c>
      <c r="D801" t="s">
        <v>38</v>
      </c>
      <c r="E801" s="4">
        <v>379.05</v>
      </c>
      <c r="F801" s="4">
        <v>73.91</v>
      </c>
      <c r="G801" s="4">
        <v>326.77</v>
      </c>
      <c r="H801" s="4">
        <v>8.17</v>
      </c>
      <c r="I801" s="4">
        <v>26.14</v>
      </c>
      <c r="J801" s="4">
        <v>67.599999999999994</v>
      </c>
      <c r="K801" s="4">
        <v>203.22</v>
      </c>
      <c r="L801">
        <f t="shared" si="24"/>
        <v>2026</v>
      </c>
      <c r="M801">
        <f t="shared" si="25"/>
        <v>2</v>
      </c>
    </row>
    <row r="802" spans="1:13" ht="15" customHeight="1" x14ac:dyDescent="0.2">
      <c r="A802" s="3">
        <v>46120</v>
      </c>
      <c r="B802" t="s">
        <v>857</v>
      </c>
      <c r="C802" t="s">
        <v>515</v>
      </c>
      <c r="D802" t="s">
        <v>316</v>
      </c>
      <c r="E802" s="4">
        <v>379.05</v>
      </c>
      <c r="F802" s="4">
        <v>73.91</v>
      </c>
      <c r="G802" s="4">
        <v>326.77</v>
      </c>
      <c r="H802" s="4">
        <v>8.17</v>
      </c>
      <c r="I802" s="4">
        <v>26.14</v>
      </c>
      <c r="J802" s="4">
        <v>67.599999999999994</v>
      </c>
      <c r="K802" s="4">
        <v>203.22</v>
      </c>
      <c r="L802">
        <f t="shared" si="24"/>
        <v>2026</v>
      </c>
      <c r="M802">
        <f t="shared" si="25"/>
        <v>2</v>
      </c>
    </row>
    <row r="803" spans="1:13" ht="15" customHeight="1" x14ac:dyDescent="0.2">
      <c r="A803" s="3">
        <v>46120</v>
      </c>
      <c r="B803" t="s">
        <v>858</v>
      </c>
      <c r="C803" t="s">
        <v>726</v>
      </c>
      <c r="D803" t="s">
        <v>38</v>
      </c>
      <c r="E803" s="4">
        <v>379.05</v>
      </c>
      <c r="F803" s="4">
        <v>73.91</v>
      </c>
      <c r="G803" s="4">
        <v>326.77</v>
      </c>
      <c r="H803" s="4">
        <v>8.17</v>
      </c>
      <c r="I803" s="4">
        <v>26.14</v>
      </c>
      <c r="J803" s="4">
        <v>59.6</v>
      </c>
      <c r="K803" s="4">
        <v>211.22</v>
      </c>
      <c r="L803">
        <f t="shared" si="24"/>
        <v>2026</v>
      </c>
      <c r="M803">
        <f t="shared" si="25"/>
        <v>2</v>
      </c>
    </row>
    <row r="804" spans="1:13" ht="15" customHeight="1" x14ac:dyDescent="0.2">
      <c r="A804" s="3">
        <v>46120</v>
      </c>
      <c r="B804" t="s">
        <v>859</v>
      </c>
      <c r="C804" t="s">
        <v>92</v>
      </c>
      <c r="D804" t="s">
        <v>40</v>
      </c>
      <c r="E804" s="4">
        <v>299.7</v>
      </c>
      <c r="F804" s="4">
        <v>58.44</v>
      </c>
      <c r="G804" s="4">
        <v>258.36</v>
      </c>
      <c r="H804" s="4">
        <v>6.46</v>
      </c>
      <c r="I804" s="4">
        <v>20.67</v>
      </c>
      <c r="J804" s="4">
        <v>67.599999999999994</v>
      </c>
      <c r="K804" s="4">
        <v>146.53</v>
      </c>
      <c r="L804">
        <f t="shared" si="24"/>
        <v>2026</v>
      </c>
      <c r="M804">
        <f t="shared" si="25"/>
        <v>2</v>
      </c>
    </row>
    <row r="805" spans="1:13" ht="15" customHeight="1" x14ac:dyDescent="0.2">
      <c r="A805" s="3">
        <v>46120</v>
      </c>
      <c r="B805" t="s">
        <v>859</v>
      </c>
      <c r="C805" t="s">
        <v>113</v>
      </c>
      <c r="D805" t="s">
        <v>40</v>
      </c>
      <c r="E805" s="4">
        <v>299.7</v>
      </c>
      <c r="F805" s="4">
        <v>58.44</v>
      </c>
      <c r="G805" s="4">
        <v>258.36</v>
      </c>
      <c r="H805" s="4">
        <v>6.46</v>
      </c>
      <c r="I805" s="4">
        <v>20.67</v>
      </c>
      <c r="J805" s="4">
        <v>67.599999999999994</v>
      </c>
      <c r="K805" s="4">
        <v>146.53</v>
      </c>
      <c r="L805">
        <f t="shared" si="24"/>
        <v>2026</v>
      </c>
      <c r="M805">
        <f t="shared" si="25"/>
        <v>2</v>
      </c>
    </row>
    <row r="806" spans="1:13" ht="15" customHeight="1" x14ac:dyDescent="0.2">
      <c r="A806" s="3">
        <v>46121</v>
      </c>
      <c r="B806" t="s">
        <v>860</v>
      </c>
      <c r="C806" t="s">
        <v>31</v>
      </c>
      <c r="D806" t="s">
        <v>27</v>
      </c>
      <c r="E806" s="4">
        <v>999</v>
      </c>
      <c r="F806" s="4">
        <v>99.9</v>
      </c>
      <c r="G806" s="4">
        <v>861.21</v>
      </c>
      <c r="H806" s="4">
        <v>21.53</v>
      </c>
      <c r="I806" s="4">
        <v>68.900000000000006</v>
      </c>
      <c r="J806" s="4">
        <v>74.5</v>
      </c>
      <c r="K806" s="4">
        <v>734.17</v>
      </c>
      <c r="L806">
        <f t="shared" si="24"/>
        <v>2026</v>
      </c>
      <c r="M806">
        <f t="shared" si="25"/>
        <v>2</v>
      </c>
    </row>
    <row r="807" spans="1:13" ht="15" customHeight="1" x14ac:dyDescent="0.2">
      <c r="A807" s="3">
        <v>46122</v>
      </c>
      <c r="B807" t="s">
        <v>861</v>
      </c>
      <c r="C807" t="s">
        <v>90</v>
      </c>
      <c r="D807" t="s">
        <v>65</v>
      </c>
      <c r="E807" s="4">
        <v>269.10000000000002</v>
      </c>
      <c r="F807" s="4">
        <v>39.020000000000003</v>
      </c>
      <c r="G807" s="4">
        <v>231.98</v>
      </c>
      <c r="H807" s="4">
        <v>5.8</v>
      </c>
      <c r="I807" s="4">
        <v>18.559999999999999</v>
      </c>
      <c r="J807" s="4">
        <v>52.4</v>
      </c>
      <c r="K807" s="4">
        <v>153.32</v>
      </c>
      <c r="L807">
        <f t="shared" si="24"/>
        <v>2026</v>
      </c>
      <c r="M807">
        <f t="shared" si="25"/>
        <v>2</v>
      </c>
    </row>
    <row r="808" spans="1:13" ht="15" customHeight="1" x14ac:dyDescent="0.2">
      <c r="A808" s="3">
        <v>46124</v>
      </c>
      <c r="B808" t="s">
        <v>862</v>
      </c>
      <c r="C808" t="s">
        <v>31</v>
      </c>
      <c r="D808" t="s">
        <v>33</v>
      </c>
      <c r="E808" s="4">
        <v>999</v>
      </c>
      <c r="F808" s="4">
        <v>99.9</v>
      </c>
      <c r="G808" s="4">
        <v>861.21</v>
      </c>
      <c r="H808" s="4">
        <v>21.53</v>
      </c>
      <c r="I808" s="4">
        <v>68.900000000000006</v>
      </c>
      <c r="J808" s="4">
        <v>74.5</v>
      </c>
      <c r="K808" s="4">
        <v>734.17</v>
      </c>
      <c r="L808">
        <f t="shared" si="24"/>
        <v>2026</v>
      </c>
      <c r="M808">
        <f t="shared" si="25"/>
        <v>2</v>
      </c>
    </row>
    <row r="809" spans="1:13" ht="15" customHeight="1" x14ac:dyDescent="0.2">
      <c r="A809" s="3">
        <v>46125</v>
      </c>
      <c r="B809" t="s">
        <v>863</v>
      </c>
      <c r="C809" t="s">
        <v>848</v>
      </c>
      <c r="D809" t="s">
        <v>215</v>
      </c>
      <c r="E809" s="4">
        <v>379.05</v>
      </c>
      <c r="F809" s="4">
        <v>73.91</v>
      </c>
      <c r="G809" s="4">
        <v>326.77</v>
      </c>
      <c r="H809" s="4">
        <v>8.17</v>
      </c>
      <c r="I809" s="4">
        <v>26.14</v>
      </c>
      <c r="J809" s="4">
        <v>59.6</v>
      </c>
      <c r="K809" s="4">
        <v>211.22</v>
      </c>
      <c r="L809">
        <f t="shared" si="24"/>
        <v>2026</v>
      </c>
      <c r="M809">
        <f t="shared" si="25"/>
        <v>2</v>
      </c>
    </row>
    <row r="810" spans="1:13" ht="15" customHeight="1" x14ac:dyDescent="0.2">
      <c r="A810" s="3">
        <v>46125</v>
      </c>
      <c r="B810" t="s">
        <v>864</v>
      </c>
      <c r="C810" t="s">
        <v>52</v>
      </c>
      <c r="D810" t="s">
        <v>232</v>
      </c>
      <c r="E810" s="4">
        <v>299</v>
      </c>
      <c r="F810" s="4">
        <v>58.31</v>
      </c>
      <c r="G810" s="4">
        <v>257.76</v>
      </c>
      <c r="H810" s="4">
        <v>6.44</v>
      </c>
      <c r="I810" s="4">
        <v>20.62</v>
      </c>
      <c r="J810" s="4">
        <v>52.4</v>
      </c>
      <c r="K810" s="4">
        <v>161.22999999999999</v>
      </c>
      <c r="L810">
        <f t="shared" si="24"/>
        <v>2026</v>
      </c>
      <c r="M810">
        <f t="shared" si="25"/>
        <v>2</v>
      </c>
    </row>
    <row r="811" spans="1:13" ht="15" customHeight="1" x14ac:dyDescent="0.2">
      <c r="A811" s="3">
        <v>46126</v>
      </c>
      <c r="B811" t="s">
        <v>863</v>
      </c>
      <c r="C811" t="s">
        <v>848</v>
      </c>
      <c r="D811" t="s">
        <v>215</v>
      </c>
      <c r="E811" s="4">
        <v>379.05</v>
      </c>
      <c r="F811" s="4">
        <v>73.91</v>
      </c>
      <c r="G811" s="4">
        <v>326.77</v>
      </c>
      <c r="H811" s="4">
        <v>8.17</v>
      </c>
      <c r="I811" s="4">
        <v>26.14</v>
      </c>
      <c r="J811" s="4">
        <v>59.6</v>
      </c>
      <c r="K811" s="4">
        <v>211.22</v>
      </c>
      <c r="L811">
        <f t="shared" si="24"/>
        <v>2026</v>
      </c>
      <c r="M811">
        <f t="shared" si="25"/>
        <v>2</v>
      </c>
    </row>
    <row r="812" spans="1:13" ht="15" customHeight="1" x14ac:dyDescent="0.2">
      <c r="A812" s="3">
        <v>46126</v>
      </c>
      <c r="B812" t="s">
        <v>865</v>
      </c>
      <c r="C812" t="s">
        <v>770</v>
      </c>
      <c r="D812" t="s">
        <v>93</v>
      </c>
      <c r="E812" s="4">
        <v>379.05</v>
      </c>
      <c r="F812" s="4">
        <v>73.91</v>
      </c>
      <c r="G812" s="4">
        <v>326.77</v>
      </c>
      <c r="H812" s="4">
        <v>8.17</v>
      </c>
      <c r="I812" s="4">
        <v>26.14</v>
      </c>
      <c r="J812" s="4">
        <v>59.6</v>
      </c>
      <c r="K812" s="4">
        <v>211.22</v>
      </c>
      <c r="L812">
        <f t="shared" si="24"/>
        <v>2026</v>
      </c>
      <c r="M812">
        <f t="shared" si="25"/>
        <v>2</v>
      </c>
    </row>
    <row r="813" spans="1:13" ht="15" customHeight="1" x14ac:dyDescent="0.2">
      <c r="A813" s="3">
        <v>46127</v>
      </c>
      <c r="B813" t="s">
        <v>866</v>
      </c>
      <c r="C813" t="s">
        <v>31</v>
      </c>
      <c r="D813" t="s">
        <v>65</v>
      </c>
      <c r="E813" s="4">
        <v>999</v>
      </c>
      <c r="F813" s="4">
        <v>99.9</v>
      </c>
      <c r="G813" s="4">
        <v>861.21</v>
      </c>
      <c r="H813" s="4">
        <v>21.53</v>
      </c>
      <c r="I813" s="4">
        <v>68.900000000000006</v>
      </c>
      <c r="J813" s="4">
        <v>74.5</v>
      </c>
      <c r="K813" s="4">
        <v>734.17</v>
      </c>
      <c r="L813">
        <f t="shared" si="24"/>
        <v>2026</v>
      </c>
      <c r="M813">
        <f t="shared" si="25"/>
        <v>2</v>
      </c>
    </row>
    <row r="814" spans="1:13" ht="15" customHeight="1" x14ac:dyDescent="0.2">
      <c r="A814" s="3">
        <v>46127</v>
      </c>
      <c r="B814" t="s">
        <v>867</v>
      </c>
      <c r="C814" t="s">
        <v>165</v>
      </c>
      <c r="D814" t="s">
        <v>316</v>
      </c>
      <c r="E814" s="4">
        <v>399</v>
      </c>
      <c r="F814" s="4">
        <v>57.86</v>
      </c>
      <c r="G814" s="4">
        <v>343.97</v>
      </c>
      <c r="H814" s="4">
        <v>8.6</v>
      </c>
      <c r="I814" s="4">
        <v>27.52</v>
      </c>
      <c r="J814" s="4">
        <v>67.599999999999994</v>
      </c>
      <c r="K814" s="4">
        <v>237.43</v>
      </c>
      <c r="L814">
        <f t="shared" si="24"/>
        <v>2026</v>
      </c>
      <c r="M814">
        <f t="shared" si="25"/>
        <v>2</v>
      </c>
    </row>
    <row r="815" spans="1:13" ht="15" customHeight="1" x14ac:dyDescent="0.2">
      <c r="A815" s="3">
        <v>46127</v>
      </c>
      <c r="B815" t="s">
        <v>868</v>
      </c>
      <c r="C815" t="s">
        <v>869</v>
      </c>
      <c r="D815" t="s">
        <v>77</v>
      </c>
      <c r="E815" s="4">
        <v>699</v>
      </c>
      <c r="F815" s="4">
        <v>101.36</v>
      </c>
      <c r="G815" s="4">
        <v>602.59</v>
      </c>
      <c r="H815" s="4">
        <v>15.06</v>
      </c>
      <c r="I815" s="4">
        <v>48.21</v>
      </c>
      <c r="J815" s="4">
        <v>95</v>
      </c>
      <c r="K815" s="4">
        <v>439.37</v>
      </c>
      <c r="L815">
        <f t="shared" si="24"/>
        <v>2026</v>
      </c>
      <c r="M815">
        <f t="shared" si="25"/>
        <v>2</v>
      </c>
    </row>
    <row r="816" spans="1:13" ht="15" customHeight="1" x14ac:dyDescent="0.2">
      <c r="A816" s="3">
        <v>46127</v>
      </c>
      <c r="B816" t="s">
        <v>870</v>
      </c>
      <c r="C816" t="s">
        <v>31</v>
      </c>
      <c r="D816" t="s">
        <v>77</v>
      </c>
      <c r="E816" s="4">
        <v>999</v>
      </c>
      <c r="F816" s="4">
        <v>99.9</v>
      </c>
      <c r="G816" s="4">
        <v>861.21</v>
      </c>
      <c r="H816" s="4">
        <v>21.53</v>
      </c>
      <c r="I816" s="4">
        <v>68.900000000000006</v>
      </c>
      <c r="J816" s="4">
        <v>74.5</v>
      </c>
      <c r="K816" s="4">
        <v>734.17</v>
      </c>
      <c r="L816">
        <f t="shared" si="24"/>
        <v>2026</v>
      </c>
      <c r="M816">
        <f t="shared" si="25"/>
        <v>2</v>
      </c>
    </row>
    <row r="817" spans="1:13" ht="15" customHeight="1" x14ac:dyDescent="0.2">
      <c r="A817" s="3">
        <v>46130</v>
      </c>
      <c r="B817" t="s">
        <v>871</v>
      </c>
      <c r="C817" t="s">
        <v>770</v>
      </c>
      <c r="D817" t="s">
        <v>93</v>
      </c>
      <c r="E817" s="4">
        <v>439</v>
      </c>
      <c r="F817" s="4">
        <v>85.61</v>
      </c>
      <c r="G817" s="4">
        <v>378.45</v>
      </c>
      <c r="H817" s="4">
        <v>9.4600000000000009</v>
      </c>
      <c r="I817" s="4">
        <v>30.28</v>
      </c>
      <c r="J817" s="4">
        <v>67.599999999999994</v>
      </c>
      <c r="K817" s="4">
        <v>246.06</v>
      </c>
      <c r="L817">
        <f t="shared" si="24"/>
        <v>2026</v>
      </c>
      <c r="M817">
        <f t="shared" si="25"/>
        <v>2</v>
      </c>
    </row>
    <row r="818" spans="1:13" ht="15" customHeight="1" x14ac:dyDescent="0.2">
      <c r="A818" s="3">
        <v>46130</v>
      </c>
      <c r="B818" t="s">
        <v>872</v>
      </c>
      <c r="C818" t="s">
        <v>873</v>
      </c>
      <c r="D818" t="s">
        <v>77</v>
      </c>
      <c r="E818" s="4">
        <v>299</v>
      </c>
      <c r="F818" s="4">
        <v>58.31</v>
      </c>
      <c r="G818" s="4">
        <v>257.76</v>
      </c>
      <c r="H818" s="4">
        <v>6.44</v>
      </c>
      <c r="I818" s="4">
        <v>20.62</v>
      </c>
      <c r="J818" s="4">
        <v>67.599999999999994</v>
      </c>
      <c r="K818" s="4">
        <v>146.03</v>
      </c>
      <c r="L818">
        <f t="shared" si="24"/>
        <v>2026</v>
      </c>
      <c r="M818">
        <f t="shared" si="25"/>
        <v>2</v>
      </c>
    </row>
    <row r="819" spans="1:13" ht="15" customHeight="1" x14ac:dyDescent="0.2">
      <c r="A819" s="3">
        <v>46132</v>
      </c>
      <c r="B819" t="s">
        <v>874</v>
      </c>
      <c r="C819" t="s">
        <v>458</v>
      </c>
      <c r="D819" t="s">
        <v>77</v>
      </c>
      <c r="E819" s="4">
        <v>2199</v>
      </c>
      <c r="F819" s="4">
        <v>318.86</v>
      </c>
      <c r="G819" s="4">
        <v>1895.69</v>
      </c>
      <c r="H819" s="4">
        <v>47.39</v>
      </c>
      <c r="I819" s="4">
        <v>151.66</v>
      </c>
      <c r="J819" s="4">
        <v>74.5</v>
      </c>
      <c r="K819" s="4">
        <v>1606.6</v>
      </c>
      <c r="L819">
        <f t="shared" si="24"/>
        <v>2026</v>
      </c>
      <c r="M819">
        <f t="shared" si="25"/>
        <v>2</v>
      </c>
    </row>
    <row r="820" spans="1:13" ht="15" customHeight="1" x14ac:dyDescent="0.2">
      <c r="A820" s="3">
        <v>46132</v>
      </c>
      <c r="B820" t="s">
        <v>875</v>
      </c>
      <c r="C820" t="s">
        <v>848</v>
      </c>
      <c r="D820" t="s">
        <v>38</v>
      </c>
      <c r="E820" s="4">
        <v>378.37</v>
      </c>
      <c r="F820" s="4">
        <v>73.78</v>
      </c>
      <c r="G820" s="4">
        <v>326.18</v>
      </c>
      <c r="H820" s="4">
        <v>8.15</v>
      </c>
      <c r="I820" s="4">
        <v>26.09</v>
      </c>
      <c r="J820" s="4">
        <v>59.6</v>
      </c>
      <c r="K820" s="4">
        <v>210.74</v>
      </c>
      <c r="L820">
        <f t="shared" si="24"/>
        <v>2026</v>
      </c>
      <c r="M820">
        <f t="shared" si="25"/>
        <v>2</v>
      </c>
    </row>
    <row r="821" spans="1:13" ht="15" customHeight="1" x14ac:dyDescent="0.2">
      <c r="A821" s="3">
        <v>46133</v>
      </c>
      <c r="B821" t="s">
        <v>876</v>
      </c>
      <c r="C821" t="s">
        <v>726</v>
      </c>
      <c r="D821" t="s">
        <v>77</v>
      </c>
      <c r="E821" s="4">
        <v>379.05</v>
      </c>
      <c r="F821" s="4">
        <v>73.91</v>
      </c>
      <c r="G821" s="4">
        <v>326.77</v>
      </c>
      <c r="H821" s="4">
        <v>8.17</v>
      </c>
      <c r="I821" s="4">
        <v>26.14</v>
      </c>
      <c r="J821" s="4">
        <v>67.599999999999994</v>
      </c>
      <c r="K821" s="4">
        <v>203.22</v>
      </c>
      <c r="L821">
        <f t="shared" si="24"/>
        <v>2026</v>
      </c>
      <c r="M821">
        <f t="shared" si="25"/>
        <v>2</v>
      </c>
    </row>
    <row r="822" spans="1:13" ht="15" customHeight="1" x14ac:dyDescent="0.2">
      <c r="A822" s="3">
        <v>46133</v>
      </c>
      <c r="B822" t="s">
        <v>858</v>
      </c>
      <c r="C822" t="s">
        <v>541</v>
      </c>
      <c r="D822" t="s">
        <v>38</v>
      </c>
      <c r="E822" s="4">
        <v>379.05</v>
      </c>
      <c r="F822" s="4">
        <v>73.91</v>
      </c>
      <c r="G822" s="4">
        <v>326.77</v>
      </c>
      <c r="H822" s="4">
        <v>8.17</v>
      </c>
      <c r="I822" s="4">
        <v>26.14</v>
      </c>
      <c r="J822" s="4">
        <v>67.599999999999994</v>
      </c>
      <c r="K822" s="4">
        <v>203.22</v>
      </c>
      <c r="L822">
        <f t="shared" si="24"/>
        <v>2026</v>
      </c>
      <c r="M822">
        <f t="shared" si="25"/>
        <v>2</v>
      </c>
    </row>
    <row r="823" spans="1:13" ht="15" customHeight="1" x14ac:dyDescent="0.2">
      <c r="A823" s="3">
        <v>46133</v>
      </c>
      <c r="B823" t="s">
        <v>877</v>
      </c>
      <c r="C823" t="s">
        <v>541</v>
      </c>
      <c r="D823" t="s">
        <v>81</v>
      </c>
      <c r="E823" s="4">
        <v>379.05</v>
      </c>
      <c r="F823" s="4">
        <v>73.91</v>
      </c>
      <c r="G823" s="4">
        <v>326.77</v>
      </c>
      <c r="H823" s="4">
        <v>8.17</v>
      </c>
      <c r="I823" s="4">
        <v>26.14</v>
      </c>
      <c r="J823" s="4">
        <v>67.599999999999994</v>
      </c>
      <c r="K823" s="4">
        <v>203.22</v>
      </c>
      <c r="L823">
        <f t="shared" si="24"/>
        <v>2026</v>
      </c>
      <c r="M823">
        <f t="shared" si="25"/>
        <v>2</v>
      </c>
    </row>
    <row r="824" spans="1:13" ht="15" customHeight="1" x14ac:dyDescent="0.2">
      <c r="A824" s="3">
        <v>46133</v>
      </c>
      <c r="B824" t="s">
        <v>878</v>
      </c>
      <c r="C824" t="s">
        <v>115</v>
      </c>
      <c r="D824" t="s">
        <v>29</v>
      </c>
      <c r="E824" s="4">
        <v>1899</v>
      </c>
      <c r="F824" s="4">
        <v>275.36</v>
      </c>
      <c r="G824" s="4">
        <v>1637.07</v>
      </c>
      <c r="H824" s="4">
        <v>40.93</v>
      </c>
      <c r="I824" s="4">
        <v>130.97</v>
      </c>
      <c r="J824" s="4">
        <v>74.5</v>
      </c>
      <c r="K824" s="4">
        <v>1377.25</v>
      </c>
      <c r="L824">
        <f t="shared" si="24"/>
        <v>2026</v>
      </c>
      <c r="M824">
        <f t="shared" si="25"/>
        <v>2</v>
      </c>
    </row>
    <row r="825" spans="1:13" ht="15" customHeight="1" x14ac:dyDescent="0.2">
      <c r="A825" s="3">
        <v>46135</v>
      </c>
      <c r="B825" t="s">
        <v>879</v>
      </c>
      <c r="C825" t="s">
        <v>31</v>
      </c>
      <c r="D825" t="s">
        <v>93</v>
      </c>
      <c r="E825" s="4">
        <v>974</v>
      </c>
      <c r="F825" s="4">
        <v>97.4</v>
      </c>
      <c r="G825" s="4">
        <v>839.66</v>
      </c>
      <c r="H825" s="4">
        <v>20.99</v>
      </c>
      <c r="I825" s="4">
        <v>67.17</v>
      </c>
      <c r="J825" s="4">
        <v>74.5</v>
      </c>
      <c r="K825" s="4">
        <v>713.94</v>
      </c>
      <c r="L825">
        <f t="shared" si="24"/>
        <v>2026</v>
      </c>
      <c r="M825">
        <f t="shared" si="25"/>
        <v>2</v>
      </c>
    </row>
    <row r="826" spans="1:13" ht="15" customHeight="1" x14ac:dyDescent="0.2">
      <c r="A826" s="3">
        <v>46135</v>
      </c>
      <c r="B826" t="s">
        <v>880</v>
      </c>
      <c r="C826" t="s">
        <v>31</v>
      </c>
      <c r="D826" t="s">
        <v>40</v>
      </c>
      <c r="E826" s="4">
        <v>974</v>
      </c>
      <c r="F826" s="4">
        <v>97.4</v>
      </c>
      <c r="G826" s="4">
        <v>839.66</v>
      </c>
      <c r="H826" s="4">
        <v>20.99</v>
      </c>
      <c r="I826" s="4">
        <v>67.17</v>
      </c>
      <c r="J826" s="4">
        <v>74.5</v>
      </c>
      <c r="K826" s="4">
        <v>713.94</v>
      </c>
      <c r="L826">
        <f t="shared" si="24"/>
        <v>2026</v>
      </c>
      <c r="M826">
        <f t="shared" si="25"/>
        <v>2</v>
      </c>
    </row>
    <row r="827" spans="1:13" ht="15" customHeight="1" x14ac:dyDescent="0.2">
      <c r="A827" s="3">
        <v>46135</v>
      </c>
      <c r="B827" t="s">
        <v>881</v>
      </c>
      <c r="C827" t="s">
        <v>515</v>
      </c>
      <c r="D827" t="s">
        <v>38</v>
      </c>
      <c r="E827" s="4">
        <v>379.05</v>
      </c>
      <c r="F827" s="4">
        <v>73.91</v>
      </c>
      <c r="G827" s="4">
        <v>326.77</v>
      </c>
      <c r="H827" s="4">
        <v>8.17</v>
      </c>
      <c r="I827" s="4">
        <v>26.14</v>
      </c>
      <c r="J827" s="4">
        <v>67.599999999999994</v>
      </c>
      <c r="K827" s="4">
        <v>203.22</v>
      </c>
      <c r="L827">
        <f t="shared" si="24"/>
        <v>2026</v>
      </c>
      <c r="M827">
        <f t="shared" si="25"/>
        <v>2</v>
      </c>
    </row>
    <row r="828" spans="1:13" ht="15" customHeight="1" x14ac:dyDescent="0.2">
      <c r="A828" s="3">
        <v>46135</v>
      </c>
      <c r="B828" t="s">
        <v>882</v>
      </c>
      <c r="C828" t="s">
        <v>515</v>
      </c>
      <c r="D828" t="s">
        <v>189</v>
      </c>
      <c r="E828" s="4">
        <v>379.05</v>
      </c>
      <c r="F828" s="4">
        <v>73.91</v>
      </c>
      <c r="G828" s="4">
        <v>326.77</v>
      </c>
      <c r="H828" s="4">
        <v>8.17</v>
      </c>
      <c r="I828" s="4">
        <v>26.14</v>
      </c>
      <c r="J828" s="4">
        <v>63.73</v>
      </c>
      <c r="K828" s="4">
        <v>207.09</v>
      </c>
      <c r="L828">
        <f t="shared" si="24"/>
        <v>2026</v>
      </c>
      <c r="M828">
        <f t="shared" si="25"/>
        <v>2</v>
      </c>
    </row>
    <row r="829" spans="1:13" ht="15" customHeight="1" x14ac:dyDescent="0.2">
      <c r="A829" s="3">
        <v>46135</v>
      </c>
      <c r="B829" t="s">
        <v>882</v>
      </c>
      <c r="C829" t="s">
        <v>541</v>
      </c>
      <c r="D829" t="s">
        <v>189</v>
      </c>
      <c r="E829" s="4">
        <v>379.05</v>
      </c>
      <c r="F829" s="4">
        <v>73.91</v>
      </c>
      <c r="G829" s="4">
        <v>326.77</v>
      </c>
      <c r="H829" s="4">
        <v>8.17</v>
      </c>
      <c r="I829" s="4">
        <v>26.14</v>
      </c>
      <c r="J829" s="4">
        <v>63.73</v>
      </c>
      <c r="K829" s="4">
        <v>207.09</v>
      </c>
      <c r="L829">
        <f t="shared" si="24"/>
        <v>2026</v>
      </c>
      <c r="M829">
        <f t="shared" si="25"/>
        <v>2</v>
      </c>
    </row>
    <row r="830" spans="1:13" ht="15" customHeight="1" x14ac:dyDescent="0.2">
      <c r="A830" s="3">
        <v>46135</v>
      </c>
      <c r="B830" t="s">
        <v>882</v>
      </c>
      <c r="C830" t="s">
        <v>770</v>
      </c>
      <c r="D830" t="s">
        <v>189</v>
      </c>
      <c r="E830" s="4">
        <v>379.05</v>
      </c>
      <c r="F830" s="4">
        <v>73.91</v>
      </c>
      <c r="G830" s="4">
        <v>326.77</v>
      </c>
      <c r="H830" s="4">
        <v>8.17</v>
      </c>
      <c r="I830" s="4">
        <v>26.14</v>
      </c>
      <c r="J830" s="4">
        <v>63.73</v>
      </c>
      <c r="K830" s="4">
        <v>207.09</v>
      </c>
      <c r="L830">
        <f t="shared" si="24"/>
        <v>2026</v>
      </c>
      <c r="M830">
        <f t="shared" si="25"/>
        <v>2</v>
      </c>
    </row>
    <row r="831" spans="1:13" ht="15" customHeight="1" x14ac:dyDescent="0.2">
      <c r="A831" s="3">
        <v>46135</v>
      </c>
      <c r="B831" t="s">
        <v>883</v>
      </c>
      <c r="C831" t="s">
        <v>726</v>
      </c>
      <c r="D831" t="s">
        <v>38</v>
      </c>
      <c r="E831" s="4">
        <v>379.05</v>
      </c>
      <c r="F831" s="4">
        <v>73.91</v>
      </c>
      <c r="G831" s="4">
        <v>326.77</v>
      </c>
      <c r="H831" s="4">
        <v>8.17</v>
      </c>
      <c r="I831" s="4">
        <v>26.14</v>
      </c>
      <c r="J831" s="4">
        <v>63.73</v>
      </c>
      <c r="K831" s="4">
        <v>207.09</v>
      </c>
      <c r="L831">
        <f t="shared" si="24"/>
        <v>2026</v>
      </c>
      <c r="M831">
        <f t="shared" si="25"/>
        <v>2</v>
      </c>
    </row>
    <row r="832" spans="1:13" ht="15" customHeight="1" x14ac:dyDescent="0.2">
      <c r="A832" s="3">
        <v>46136</v>
      </c>
      <c r="B832" t="s">
        <v>884</v>
      </c>
      <c r="C832" t="s">
        <v>515</v>
      </c>
      <c r="D832" t="s">
        <v>38</v>
      </c>
      <c r="E832" s="4">
        <v>379.05</v>
      </c>
      <c r="F832" s="4">
        <v>73.91</v>
      </c>
      <c r="G832" s="4">
        <v>326.77</v>
      </c>
      <c r="H832" s="4">
        <v>8.17</v>
      </c>
      <c r="I832" s="4">
        <v>26.14</v>
      </c>
      <c r="J832" s="4">
        <v>63.73</v>
      </c>
      <c r="K832" s="4">
        <v>207.09</v>
      </c>
      <c r="L832">
        <f t="shared" si="24"/>
        <v>2026</v>
      </c>
      <c r="M832">
        <f t="shared" si="25"/>
        <v>2</v>
      </c>
    </row>
    <row r="833" spans="1:13" ht="15" customHeight="1" x14ac:dyDescent="0.2">
      <c r="A833" s="3">
        <v>46136</v>
      </c>
      <c r="B833" t="s">
        <v>885</v>
      </c>
      <c r="C833" t="s">
        <v>31</v>
      </c>
      <c r="D833" t="s">
        <v>59</v>
      </c>
      <c r="E833" s="4">
        <v>974</v>
      </c>
      <c r="F833" s="4">
        <v>97.4</v>
      </c>
      <c r="G833" s="4">
        <v>839.66</v>
      </c>
      <c r="H833" s="4">
        <v>20.99</v>
      </c>
      <c r="I833" s="4">
        <v>67.17</v>
      </c>
      <c r="J833" s="4">
        <v>74.5</v>
      </c>
      <c r="K833" s="4">
        <v>713.94</v>
      </c>
      <c r="L833">
        <f t="shared" si="24"/>
        <v>2026</v>
      </c>
      <c r="M833">
        <f t="shared" si="25"/>
        <v>2</v>
      </c>
    </row>
    <row r="834" spans="1:13" ht="15" customHeight="1" x14ac:dyDescent="0.2">
      <c r="A834" s="3">
        <v>46138</v>
      </c>
      <c r="B834" t="s">
        <v>886</v>
      </c>
      <c r="C834" t="s">
        <v>848</v>
      </c>
      <c r="D834" t="s">
        <v>119</v>
      </c>
      <c r="E834" s="4">
        <v>379.05</v>
      </c>
      <c r="F834" s="4">
        <v>73.91</v>
      </c>
      <c r="G834" s="4">
        <v>326.77</v>
      </c>
      <c r="H834" s="4">
        <v>8.17</v>
      </c>
      <c r="I834" s="4">
        <v>26.14</v>
      </c>
      <c r="J834" s="4">
        <v>67.599999999999994</v>
      </c>
      <c r="K834" s="4">
        <v>203.22</v>
      </c>
      <c r="L834">
        <f t="shared" ref="L834:L897" si="26">YEAR(A834)</f>
        <v>2026</v>
      </c>
      <c r="M834">
        <f t="shared" ref="M834:M897" si="27">ROUNDUP(MONTH(A834)/3,0)</f>
        <v>2</v>
      </c>
    </row>
    <row r="835" spans="1:13" ht="15" customHeight="1" x14ac:dyDescent="0.2">
      <c r="A835" s="3">
        <v>46139</v>
      </c>
      <c r="B835" t="s">
        <v>887</v>
      </c>
      <c r="C835" t="s">
        <v>31</v>
      </c>
      <c r="D835" t="s">
        <v>33</v>
      </c>
      <c r="E835" s="4">
        <v>974</v>
      </c>
      <c r="F835" s="4">
        <v>97.4</v>
      </c>
      <c r="G835" s="4">
        <v>839.66</v>
      </c>
      <c r="H835" s="4">
        <v>20.99</v>
      </c>
      <c r="I835" s="4">
        <v>67.17</v>
      </c>
      <c r="J835" s="4">
        <v>74.5</v>
      </c>
      <c r="K835" s="4">
        <v>713.94</v>
      </c>
      <c r="L835">
        <f t="shared" si="26"/>
        <v>2026</v>
      </c>
      <c r="M835">
        <f t="shared" si="27"/>
        <v>2</v>
      </c>
    </row>
    <row r="836" spans="1:13" ht="15" customHeight="1" x14ac:dyDescent="0.2">
      <c r="A836" s="3">
        <v>46139</v>
      </c>
      <c r="B836" t="s">
        <v>888</v>
      </c>
      <c r="C836" t="s">
        <v>848</v>
      </c>
      <c r="D836" t="s">
        <v>93</v>
      </c>
      <c r="E836" s="4">
        <v>378.37</v>
      </c>
      <c r="F836" s="4">
        <v>73.78</v>
      </c>
      <c r="G836" s="4">
        <v>326.18</v>
      </c>
      <c r="H836" s="4">
        <v>8.15</v>
      </c>
      <c r="I836" s="4">
        <v>26.09</v>
      </c>
      <c r="J836" s="4">
        <v>59.6</v>
      </c>
      <c r="K836" s="4">
        <v>210.74</v>
      </c>
      <c r="L836">
        <f t="shared" si="26"/>
        <v>2026</v>
      </c>
      <c r="M836">
        <f t="shared" si="27"/>
        <v>2</v>
      </c>
    </row>
    <row r="837" spans="1:13" ht="15" customHeight="1" x14ac:dyDescent="0.2">
      <c r="A837" s="3">
        <v>46140</v>
      </c>
      <c r="B837" t="s">
        <v>889</v>
      </c>
      <c r="C837" t="s">
        <v>515</v>
      </c>
      <c r="D837" t="s">
        <v>38</v>
      </c>
      <c r="E837" s="4">
        <v>378.37</v>
      </c>
      <c r="F837" s="4">
        <v>73.78</v>
      </c>
      <c r="G837" s="4">
        <v>326.18</v>
      </c>
      <c r="H837" s="4">
        <v>8.15</v>
      </c>
      <c r="I837" s="4">
        <v>26.09</v>
      </c>
      <c r="J837" s="4">
        <v>59.6</v>
      </c>
      <c r="K837" s="4">
        <v>210.74</v>
      </c>
      <c r="L837">
        <f t="shared" si="26"/>
        <v>2026</v>
      </c>
      <c r="M837">
        <f t="shared" si="27"/>
        <v>2</v>
      </c>
    </row>
    <row r="838" spans="1:13" ht="15" customHeight="1" x14ac:dyDescent="0.2">
      <c r="A838" s="3">
        <v>46140</v>
      </c>
      <c r="B838" t="s">
        <v>890</v>
      </c>
      <c r="C838" t="s">
        <v>541</v>
      </c>
      <c r="D838" t="s">
        <v>554</v>
      </c>
      <c r="E838" s="4">
        <v>378.37</v>
      </c>
      <c r="F838" s="4">
        <v>73.78</v>
      </c>
      <c r="G838" s="4">
        <v>326.18</v>
      </c>
      <c r="H838" s="4">
        <v>8.15</v>
      </c>
      <c r="I838" s="4">
        <v>26.09</v>
      </c>
      <c r="J838" s="4">
        <v>59.6</v>
      </c>
      <c r="K838" s="4">
        <v>210.74</v>
      </c>
      <c r="L838">
        <f t="shared" si="26"/>
        <v>2026</v>
      </c>
      <c r="M838">
        <f t="shared" si="27"/>
        <v>2</v>
      </c>
    </row>
    <row r="839" spans="1:13" ht="15" customHeight="1" x14ac:dyDescent="0.2">
      <c r="A839" s="3">
        <v>46140</v>
      </c>
      <c r="B839" t="s">
        <v>891</v>
      </c>
      <c r="C839" t="s">
        <v>52</v>
      </c>
      <c r="D839" t="s">
        <v>189</v>
      </c>
      <c r="E839" s="4">
        <v>299</v>
      </c>
      <c r="F839" s="4">
        <v>58.31</v>
      </c>
      <c r="G839" s="4">
        <v>257.76</v>
      </c>
      <c r="H839" s="4">
        <v>6.44</v>
      </c>
      <c r="I839" s="4">
        <v>20.62</v>
      </c>
      <c r="J839" s="4">
        <v>52.4</v>
      </c>
      <c r="K839" s="4">
        <v>161.22999999999999</v>
      </c>
      <c r="L839">
        <f t="shared" si="26"/>
        <v>2026</v>
      </c>
      <c r="M839">
        <f t="shared" si="27"/>
        <v>2</v>
      </c>
    </row>
    <row r="840" spans="1:13" ht="15" customHeight="1" x14ac:dyDescent="0.2">
      <c r="A840" s="3">
        <v>46142</v>
      </c>
      <c r="B840" t="s">
        <v>889</v>
      </c>
      <c r="C840" t="s">
        <v>515</v>
      </c>
      <c r="D840" t="s">
        <v>38</v>
      </c>
      <c r="E840" s="4">
        <v>378.37</v>
      </c>
      <c r="F840" s="4">
        <v>73.78</v>
      </c>
      <c r="G840" s="4">
        <v>326.18</v>
      </c>
      <c r="H840" s="4">
        <v>8.15</v>
      </c>
      <c r="I840" s="4">
        <v>26.09</v>
      </c>
      <c r="J840" s="4">
        <v>67.599999999999994</v>
      </c>
      <c r="K840" s="4">
        <v>202.74</v>
      </c>
      <c r="L840">
        <f t="shared" si="26"/>
        <v>2026</v>
      </c>
      <c r="M840">
        <f t="shared" si="27"/>
        <v>2</v>
      </c>
    </row>
    <row r="841" spans="1:13" ht="15" customHeight="1" x14ac:dyDescent="0.2">
      <c r="A841" s="3">
        <v>46142</v>
      </c>
      <c r="B841" t="s">
        <v>892</v>
      </c>
      <c r="C841" t="s">
        <v>541</v>
      </c>
      <c r="D841" t="s">
        <v>35</v>
      </c>
      <c r="E841" s="4">
        <v>378.37</v>
      </c>
      <c r="F841" s="4">
        <v>73.78</v>
      </c>
      <c r="G841" s="4">
        <v>326.18</v>
      </c>
      <c r="H841" s="4">
        <v>8.15</v>
      </c>
      <c r="I841" s="4">
        <v>26.09</v>
      </c>
      <c r="J841" s="4">
        <v>67.599999999999994</v>
      </c>
      <c r="K841" s="4">
        <v>202.74</v>
      </c>
      <c r="L841">
        <f t="shared" si="26"/>
        <v>2026</v>
      </c>
      <c r="M841">
        <f t="shared" si="27"/>
        <v>2</v>
      </c>
    </row>
    <row r="842" spans="1:13" ht="15" customHeight="1" x14ac:dyDescent="0.2">
      <c r="A842" s="3">
        <v>46143</v>
      </c>
      <c r="B842" t="s">
        <v>893</v>
      </c>
      <c r="C842" t="s">
        <v>541</v>
      </c>
      <c r="D842" t="s">
        <v>42</v>
      </c>
      <c r="E842" s="4">
        <v>378.37</v>
      </c>
      <c r="F842" s="4">
        <v>73.78</v>
      </c>
      <c r="G842" s="4">
        <v>326.18</v>
      </c>
      <c r="H842" s="4">
        <v>8.15</v>
      </c>
      <c r="I842" s="4">
        <v>26.09</v>
      </c>
      <c r="J842" s="4">
        <v>67.599999999999994</v>
      </c>
      <c r="K842" s="4">
        <v>202.74</v>
      </c>
      <c r="L842">
        <f t="shared" si="26"/>
        <v>2026</v>
      </c>
      <c r="M842">
        <f t="shared" si="27"/>
        <v>2</v>
      </c>
    </row>
    <row r="843" spans="1:13" ht="15" customHeight="1" x14ac:dyDescent="0.2">
      <c r="A843" s="3">
        <v>46143</v>
      </c>
      <c r="B843" t="s">
        <v>894</v>
      </c>
      <c r="C843" t="s">
        <v>541</v>
      </c>
      <c r="D843" t="s">
        <v>93</v>
      </c>
      <c r="E843" s="4">
        <v>378.37</v>
      </c>
      <c r="F843" s="4">
        <v>73.78</v>
      </c>
      <c r="G843" s="4">
        <v>326.18</v>
      </c>
      <c r="H843" s="4">
        <v>8.15</v>
      </c>
      <c r="I843" s="4">
        <v>26.09</v>
      </c>
      <c r="J843" s="4">
        <v>67.599999999999994</v>
      </c>
      <c r="K843" s="4">
        <v>202.74</v>
      </c>
      <c r="L843">
        <f t="shared" si="26"/>
        <v>2026</v>
      </c>
      <c r="M843">
        <f t="shared" si="27"/>
        <v>2</v>
      </c>
    </row>
    <row r="844" spans="1:13" ht="15" customHeight="1" x14ac:dyDescent="0.2">
      <c r="A844" s="3">
        <v>46143</v>
      </c>
      <c r="B844" t="s">
        <v>895</v>
      </c>
      <c r="C844" t="s">
        <v>726</v>
      </c>
      <c r="D844" t="s">
        <v>93</v>
      </c>
      <c r="E844" s="4">
        <v>439</v>
      </c>
      <c r="F844" s="4">
        <v>85.61</v>
      </c>
      <c r="G844" s="4">
        <v>378.45</v>
      </c>
      <c r="H844" s="4">
        <v>9.4600000000000009</v>
      </c>
      <c r="I844" s="4">
        <v>30.28</v>
      </c>
      <c r="J844" s="4">
        <v>59.6</v>
      </c>
      <c r="K844" s="4">
        <v>254.06</v>
      </c>
      <c r="L844">
        <f t="shared" si="26"/>
        <v>2026</v>
      </c>
      <c r="M844">
        <f t="shared" si="27"/>
        <v>2</v>
      </c>
    </row>
    <row r="845" spans="1:13" ht="15" customHeight="1" x14ac:dyDescent="0.2">
      <c r="A845" s="3">
        <v>46143</v>
      </c>
      <c r="B845" t="s">
        <v>896</v>
      </c>
      <c r="C845" t="s">
        <v>515</v>
      </c>
      <c r="D845" t="s">
        <v>93</v>
      </c>
      <c r="E845" s="4">
        <v>756.74</v>
      </c>
      <c r="F845" s="4">
        <v>147.56</v>
      </c>
      <c r="G845" s="4">
        <v>652.36</v>
      </c>
      <c r="H845" s="4">
        <v>16.309999999999999</v>
      </c>
      <c r="I845" s="4">
        <v>52.19</v>
      </c>
      <c r="J845" s="4">
        <v>135.19999999999999</v>
      </c>
      <c r="K845" s="4">
        <v>405.48</v>
      </c>
      <c r="L845">
        <f t="shared" si="26"/>
        <v>2026</v>
      </c>
      <c r="M845">
        <f t="shared" si="27"/>
        <v>2</v>
      </c>
    </row>
    <row r="846" spans="1:13" ht="15" customHeight="1" x14ac:dyDescent="0.2">
      <c r="A846" s="3">
        <v>46144</v>
      </c>
      <c r="B846" t="s">
        <v>897</v>
      </c>
      <c r="C846" t="s">
        <v>31</v>
      </c>
      <c r="D846" t="s">
        <v>40</v>
      </c>
      <c r="E846" s="4">
        <v>731.1</v>
      </c>
      <c r="F846" s="4">
        <v>73.11</v>
      </c>
      <c r="G846" s="4">
        <v>630.26</v>
      </c>
      <c r="H846" s="4">
        <v>15.76</v>
      </c>
      <c r="I846" s="4">
        <v>50.42</v>
      </c>
      <c r="J846" s="4">
        <v>74.5</v>
      </c>
      <c r="K846" s="4">
        <v>517.30999999999995</v>
      </c>
      <c r="L846">
        <f t="shared" si="26"/>
        <v>2026</v>
      </c>
      <c r="M846">
        <f t="shared" si="27"/>
        <v>2</v>
      </c>
    </row>
    <row r="847" spans="1:13" ht="15" customHeight="1" x14ac:dyDescent="0.2">
      <c r="A847" s="3">
        <v>46144</v>
      </c>
      <c r="B847" t="s">
        <v>898</v>
      </c>
      <c r="C847" t="s">
        <v>726</v>
      </c>
      <c r="D847" t="s">
        <v>316</v>
      </c>
      <c r="E847" s="4">
        <v>379.05</v>
      </c>
      <c r="F847" s="4">
        <v>73.91</v>
      </c>
      <c r="G847" s="4">
        <v>326.77</v>
      </c>
      <c r="H847" s="4">
        <v>8.17</v>
      </c>
      <c r="I847" s="4">
        <v>26.14</v>
      </c>
      <c r="J847" s="4">
        <v>67.599999999999994</v>
      </c>
      <c r="K847" s="4">
        <v>203.22</v>
      </c>
      <c r="L847">
        <f t="shared" si="26"/>
        <v>2026</v>
      </c>
      <c r="M847">
        <f t="shared" si="27"/>
        <v>2</v>
      </c>
    </row>
    <row r="848" spans="1:13" ht="15" customHeight="1" x14ac:dyDescent="0.2">
      <c r="A848" s="3">
        <v>46145</v>
      </c>
      <c r="B848" t="s">
        <v>899</v>
      </c>
      <c r="C848" t="s">
        <v>162</v>
      </c>
      <c r="D848" t="s">
        <v>314</v>
      </c>
      <c r="E848" s="4">
        <v>1066.03</v>
      </c>
      <c r="F848" s="4">
        <v>154.57</v>
      </c>
      <c r="G848" s="4">
        <v>918.99</v>
      </c>
      <c r="H848" s="4">
        <v>22.97</v>
      </c>
      <c r="I848" s="4">
        <v>73.52</v>
      </c>
      <c r="J848" s="4">
        <v>84.5</v>
      </c>
      <c r="K848" s="4">
        <v>730.46</v>
      </c>
      <c r="L848">
        <f t="shared" si="26"/>
        <v>2026</v>
      </c>
      <c r="M848">
        <f t="shared" si="27"/>
        <v>2</v>
      </c>
    </row>
    <row r="849" spans="1:13" ht="15" customHeight="1" x14ac:dyDescent="0.2">
      <c r="A849" s="3">
        <v>46145</v>
      </c>
      <c r="B849" t="s">
        <v>900</v>
      </c>
      <c r="C849" t="s">
        <v>31</v>
      </c>
      <c r="D849" t="s">
        <v>49</v>
      </c>
      <c r="E849" s="4">
        <v>953</v>
      </c>
      <c r="F849" s="4">
        <v>95.3</v>
      </c>
      <c r="G849" s="4">
        <v>821.55</v>
      </c>
      <c r="H849" s="4">
        <v>20.54</v>
      </c>
      <c r="I849" s="4">
        <v>65.72</v>
      </c>
      <c r="J849" s="4">
        <v>74.5</v>
      </c>
      <c r="K849" s="4">
        <v>696.94</v>
      </c>
      <c r="L849">
        <f t="shared" si="26"/>
        <v>2026</v>
      </c>
      <c r="M849">
        <f t="shared" si="27"/>
        <v>2</v>
      </c>
    </row>
    <row r="850" spans="1:13" ht="15" customHeight="1" x14ac:dyDescent="0.2">
      <c r="A850" s="3">
        <v>46145</v>
      </c>
      <c r="B850" t="s">
        <v>901</v>
      </c>
      <c r="C850" t="s">
        <v>31</v>
      </c>
      <c r="D850" t="s">
        <v>27</v>
      </c>
      <c r="E850" s="4">
        <v>953</v>
      </c>
      <c r="F850" s="4">
        <v>95.3</v>
      </c>
      <c r="G850" s="4">
        <v>821.55</v>
      </c>
      <c r="H850" s="4">
        <v>20.54</v>
      </c>
      <c r="I850" s="4">
        <v>65.72</v>
      </c>
      <c r="J850" s="4">
        <v>74.5</v>
      </c>
      <c r="K850" s="4">
        <v>696.94</v>
      </c>
      <c r="L850">
        <f t="shared" si="26"/>
        <v>2026</v>
      </c>
      <c r="M850">
        <f t="shared" si="27"/>
        <v>2</v>
      </c>
    </row>
    <row r="851" spans="1:13" ht="15" customHeight="1" x14ac:dyDescent="0.2">
      <c r="A851" s="3">
        <v>46145</v>
      </c>
      <c r="B851" t="s">
        <v>902</v>
      </c>
      <c r="C851" t="s">
        <v>770</v>
      </c>
      <c r="D851" t="s">
        <v>77</v>
      </c>
      <c r="E851" s="4">
        <v>379.05</v>
      </c>
      <c r="F851" s="4">
        <v>73.91</v>
      </c>
      <c r="G851" s="4">
        <v>326.77</v>
      </c>
      <c r="H851" s="4">
        <v>8.17</v>
      </c>
      <c r="I851" s="4">
        <v>26.14</v>
      </c>
      <c r="J851" s="4">
        <v>67.599999999999994</v>
      </c>
      <c r="K851" s="4">
        <v>203.22</v>
      </c>
      <c r="L851">
        <f t="shared" si="26"/>
        <v>2026</v>
      </c>
      <c r="M851">
        <f t="shared" si="27"/>
        <v>2</v>
      </c>
    </row>
    <row r="852" spans="1:13" ht="15" customHeight="1" x14ac:dyDescent="0.2">
      <c r="A852" s="3">
        <v>46146</v>
      </c>
      <c r="B852" t="s">
        <v>903</v>
      </c>
      <c r="C852" t="s">
        <v>770</v>
      </c>
      <c r="D852" t="s">
        <v>38</v>
      </c>
      <c r="E852" s="4">
        <v>379.05</v>
      </c>
      <c r="F852" s="4">
        <v>73.91</v>
      </c>
      <c r="G852" s="4">
        <v>326.77</v>
      </c>
      <c r="H852" s="4">
        <v>8.17</v>
      </c>
      <c r="I852" s="4">
        <v>26.14</v>
      </c>
      <c r="J852" s="4">
        <v>67.599999999999994</v>
      </c>
      <c r="K852" s="4">
        <v>203.22</v>
      </c>
      <c r="L852">
        <f t="shared" si="26"/>
        <v>2026</v>
      </c>
      <c r="M852">
        <f t="shared" si="27"/>
        <v>2</v>
      </c>
    </row>
    <row r="853" spans="1:13" ht="15" customHeight="1" x14ac:dyDescent="0.2">
      <c r="A853" s="3">
        <v>46146</v>
      </c>
      <c r="B853" t="s">
        <v>904</v>
      </c>
      <c r="C853" t="s">
        <v>515</v>
      </c>
      <c r="D853" t="s">
        <v>93</v>
      </c>
      <c r="E853" s="4">
        <v>408.27</v>
      </c>
      <c r="F853" s="4">
        <v>79.61</v>
      </c>
      <c r="G853" s="4">
        <v>351.96</v>
      </c>
      <c r="H853" s="4">
        <v>8.8000000000000007</v>
      </c>
      <c r="I853" s="4">
        <v>28.16</v>
      </c>
      <c r="J853" s="4">
        <v>67.599999999999994</v>
      </c>
      <c r="K853" s="4">
        <v>224.1</v>
      </c>
      <c r="L853">
        <f t="shared" si="26"/>
        <v>2026</v>
      </c>
      <c r="M853">
        <f t="shared" si="27"/>
        <v>2</v>
      </c>
    </row>
    <row r="854" spans="1:13" ht="15" customHeight="1" x14ac:dyDescent="0.2">
      <c r="A854" s="3">
        <v>46146</v>
      </c>
      <c r="B854" t="s">
        <v>904</v>
      </c>
      <c r="C854" t="s">
        <v>515</v>
      </c>
      <c r="D854" t="s">
        <v>93</v>
      </c>
      <c r="E854" s="4">
        <v>408.27</v>
      </c>
      <c r="F854" s="4">
        <v>79.61</v>
      </c>
      <c r="G854" s="4">
        <v>351.96</v>
      </c>
      <c r="H854" s="4">
        <v>8.8000000000000007</v>
      </c>
      <c r="I854" s="4">
        <v>28.16</v>
      </c>
      <c r="J854" s="4">
        <v>67.599999999999994</v>
      </c>
      <c r="K854" s="4">
        <v>224.1</v>
      </c>
      <c r="L854">
        <f t="shared" si="26"/>
        <v>2026</v>
      </c>
      <c r="M854">
        <f t="shared" si="27"/>
        <v>2</v>
      </c>
    </row>
    <row r="855" spans="1:13" ht="15" customHeight="1" x14ac:dyDescent="0.2">
      <c r="A855" s="3">
        <v>46149</v>
      </c>
      <c r="B855" t="s">
        <v>905</v>
      </c>
      <c r="C855" t="s">
        <v>115</v>
      </c>
      <c r="D855" t="s">
        <v>215</v>
      </c>
      <c r="E855" s="4">
        <v>1681.94</v>
      </c>
      <c r="F855" s="4">
        <v>243.88</v>
      </c>
      <c r="G855" s="4">
        <v>1449.95</v>
      </c>
      <c r="H855" s="4">
        <v>36.25</v>
      </c>
      <c r="I855" s="4">
        <v>116</v>
      </c>
      <c r="J855" s="4">
        <v>74.5</v>
      </c>
      <c r="K855" s="4">
        <v>1211.31</v>
      </c>
      <c r="L855">
        <f t="shared" si="26"/>
        <v>2026</v>
      </c>
      <c r="M855">
        <f t="shared" si="27"/>
        <v>2</v>
      </c>
    </row>
    <row r="856" spans="1:13" ht="15" customHeight="1" x14ac:dyDescent="0.2">
      <c r="A856" s="3">
        <v>46149</v>
      </c>
      <c r="B856" t="s">
        <v>906</v>
      </c>
      <c r="C856" t="s">
        <v>31</v>
      </c>
      <c r="D856" t="s">
        <v>56</v>
      </c>
      <c r="E856" s="4">
        <v>953</v>
      </c>
      <c r="F856" s="4">
        <v>95.3</v>
      </c>
      <c r="G856" s="4">
        <v>821.55</v>
      </c>
      <c r="H856" s="4">
        <v>20.54</v>
      </c>
      <c r="I856" s="4">
        <v>65.72</v>
      </c>
      <c r="J856" s="4">
        <v>74.5</v>
      </c>
      <c r="K856" s="4">
        <v>696.94</v>
      </c>
      <c r="L856">
        <f t="shared" si="26"/>
        <v>2026</v>
      </c>
      <c r="M856">
        <f t="shared" si="27"/>
        <v>2</v>
      </c>
    </row>
    <row r="857" spans="1:13" ht="15" customHeight="1" x14ac:dyDescent="0.2">
      <c r="A857" s="3">
        <v>46149</v>
      </c>
      <c r="B857" t="s">
        <v>907</v>
      </c>
      <c r="C857" t="s">
        <v>726</v>
      </c>
      <c r="D857" t="s">
        <v>38</v>
      </c>
      <c r="E857" s="4">
        <v>408.27</v>
      </c>
      <c r="F857" s="4">
        <v>79.61</v>
      </c>
      <c r="G857" s="4">
        <v>351.96</v>
      </c>
      <c r="H857" s="4">
        <v>8.8000000000000007</v>
      </c>
      <c r="I857" s="4">
        <v>28.16</v>
      </c>
      <c r="J857" s="4">
        <v>59.6</v>
      </c>
      <c r="K857" s="4">
        <v>232.1</v>
      </c>
      <c r="L857">
        <f t="shared" si="26"/>
        <v>2026</v>
      </c>
      <c r="M857">
        <f t="shared" si="27"/>
        <v>2</v>
      </c>
    </row>
    <row r="858" spans="1:13" ht="15" customHeight="1" x14ac:dyDescent="0.2">
      <c r="A858" s="3">
        <v>46149</v>
      </c>
      <c r="B858" t="s">
        <v>908</v>
      </c>
      <c r="C858" t="s">
        <v>541</v>
      </c>
      <c r="D858" t="s">
        <v>93</v>
      </c>
      <c r="E858" s="4">
        <v>408.27</v>
      </c>
      <c r="F858" s="4">
        <v>79.61</v>
      </c>
      <c r="G858" s="4">
        <v>351.96</v>
      </c>
      <c r="H858" s="4">
        <v>8.8000000000000007</v>
      </c>
      <c r="I858" s="4">
        <v>28.16</v>
      </c>
      <c r="J858" s="4">
        <v>59.6</v>
      </c>
      <c r="K858" s="4">
        <v>232.1</v>
      </c>
      <c r="L858">
        <f t="shared" si="26"/>
        <v>2026</v>
      </c>
      <c r="M858">
        <f t="shared" si="27"/>
        <v>2</v>
      </c>
    </row>
    <row r="859" spans="1:13" ht="15" customHeight="1" x14ac:dyDescent="0.2">
      <c r="A859" s="3">
        <v>46149</v>
      </c>
      <c r="B859" t="s">
        <v>909</v>
      </c>
      <c r="C859" t="s">
        <v>726</v>
      </c>
      <c r="D859" t="s">
        <v>42</v>
      </c>
      <c r="E859" s="4">
        <v>408.27</v>
      </c>
      <c r="F859" s="4">
        <v>79.61</v>
      </c>
      <c r="G859" s="4">
        <v>351.96</v>
      </c>
      <c r="H859" s="4">
        <v>8.8000000000000007</v>
      </c>
      <c r="I859" s="4">
        <v>28.16</v>
      </c>
      <c r="J859" s="4">
        <v>59.6</v>
      </c>
      <c r="K859" s="4">
        <v>232.1</v>
      </c>
      <c r="L859">
        <f t="shared" si="26"/>
        <v>2026</v>
      </c>
      <c r="M859">
        <f t="shared" si="27"/>
        <v>2</v>
      </c>
    </row>
    <row r="860" spans="1:13" ht="15" customHeight="1" x14ac:dyDescent="0.2">
      <c r="A860" s="3">
        <v>46149</v>
      </c>
      <c r="B860" t="s">
        <v>910</v>
      </c>
      <c r="C860" t="s">
        <v>770</v>
      </c>
      <c r="D860" t="s">
        <v>38</v>
      </c>
      <c r="E860" s="4">
        <v>408.27</v>
      </c>
      <c r="F860" s="4">
        <v>79.61</v>
      </c>
      <c r="G860" s="4">
        <v>351.96</v>
      </c>
      <c r="H860" s="4">
        <v>8.8000000000000007</v>
      </c>
      <c r="I860" s="4">
        <v>28.16</v>
      </c>
      <c r="J860" s="4">
        <v>59.6</v>
      </c>
      <c r="K860" s="4">
        <v>232.1</v>
      </c>
      <c r="L860">
        <f t="shared" si="26"/>
        <v>2026</v>
      </c>
      <c r="M860">
        <f t="shared" si="27"/>
        <v>2</v>
      </c>
    </row>
    <row r="861" spans="1:13" ht="15" customHeight="1" x14ac:dyDescent="0.2">
      <c r="A861" s="3">
        <v>46149</v>
      </c>
      <c r="B861" t="s">
        <v>911</v>
      </c>
      <c r="C861" t="s">
        <v>848</v>
      </c>
      <c r="D861" t="s">
        <v>85</v>
      </c>
      <c r="E861" s="4">
        <v>408.27</v>
      </c>
      <c r="F861" s="4">
        <v>79.61</v>
      </c>
      <c r="G861" s="4">
        <v>351.96</v>
      </c>
      <c r="H861" s="4">
        <v>8.8000000000000007</v>
      </c>
      <c r="I861" s="4">
        <v>28.16</v>
      </c>
      <c r="J861" s="4">
        <v>59.6</v>
      </c>
      <c r="K861" s="4">
        <v>232.1</v>
      </c>
      <c r="L861">
        <f t="shared" si="26"/>
        <v>2026</v>
      </c>
      <c r="M861">
        <f t="shared" si="27"/>
        <v>2</v>
      </c>
    </row>
    <row r="862" spans="1:13" ht="15" customHeight="1" x14ac:dyDescent="0.2">
      <c r="A862" s="3">
        <v>46149</v>
      </c>
      <c r="B862" t="s">
        <v>912</v>
      </c>
      <c r="C862" t="s">
        <v>726</v>
      </c>
      <c r="D862" t="s">
        <v>164</v>
      </c>
      <c r="E862" s="4">
        <v>408.27</v>
      </c>
      <c r="F862" s="4">
        <v>79.61</v>
      </c>
      <c r="G862" s="4">
        <v>351.96</v>
      </c>
      <c r="H862" s="4">
        <v>8.8000000000000007</v>
      </c>
      <c r="I862" s="4">
        <v>28.16</v>
      </c>
      <c r="J862" s="4">
        <v>59.6</v>
      </c>
      <c r="K862" s="4">
        <v>232.1</v>
      </c>
      <c r="L862">
        <f t="shared" si="26"/>
        <v>2026</v>
      </c>
      <c r="M862">
        <f t="shared" si="27"/>
        <v>2</v>
      </c>
    </row>
    <row r="863" spans="1:13" ht="15" customHeight="1" x14ac:dyDescent="0.2">
      <c r="A863" s="3">
        <v>46149</v>
      </c>
      <c r="B863" t="s">
        <v>913</v>
      </c>
      <c r="C863" t="s">
        <v>541</v>
      </c>
      <c r="D863" t="s">
        <v>77</v>
      </c>
      <c r="E863" s="4">
        <v>408.27</v>
      </c>
      <c r="F863" s="4">
        <v>79.61</v>
      </c>
      <c r="G863" s="4">
        <v>351.96</v>
      </c>
      <c r="H863" s="4">
        <v>8.8000000000000007</v>
      </c>
      <c r="I863" s="4">
        <v>28.16</v>
      </c>
      <c r="J863" s="4">
        <v>59.6</v>
      </c>
      <c r="K863" s="4">
        <v>232.1</v>
      </c>
      <c r="L863">
        <f t="shared" si="26"/>
        <v>2026</v>
      </c>
      <c r="M863">
        <f t="shared" si="27"/>
        <v>2</v>
      </c>
    </row>
    <row r="864" spans="1:13" ht="15" customHeight="1" x14ac:dyDescent="0.2">
      <c r="A864" s="3">
        <v>46149</v>
      </c>
      <c r="B864" t="s">
        <v>914</v>
      </c>
      <c r="C864" t="s">
        <v>770</v>
      </c>
      <c r="D864" t="s">
        <v>38</v>
      </c>
      <c r="E864" s="4">
        <v>408.27</v>
      </c>
      <c r="F864" s="4">
        <v>79.61</v>
      </c>
      <c r="G864" s="4">
        <v>351.96</v>
      </c>
      <c r="H864" s="4">
        <v>8.8000000000000007</v>
      </c>
      <c r="I864" s="4">
        <v>28.16</v>
      </c>
      <c r="J864" s="4">
        <v>59.6</v>
      </c>
      <c r="K864" s="4">
        <v>232.1</v>
      </c>
      <c r="L864">
        <f t="shared" si="26"/>
        <v>2026</v>
      </c>
      <c r="M864">
        <f t="shared" si="27"/>
        <v>2</v>
      </c>
    </row>
    <row r="865" spans="1:13" ht="15" customHeight="1" x14ac:dyDescent="0.2">
      <c r="A865" s="3">
        <v>46150</v>
      </c>
      <c r="B865" t="s">
        <v>915</v>
      </c>
      <c r="C865" t="s">
        <v>541</v>
      </c>
      <c r="D865" t="s">
        <v>33</v>
      </c>
      <c r="E865" s="4">
        <v>408.27</v>
      </c>
      <c r="F865" s="4">
        <v>79.61</v>
      </c>
      <c r="G865" s="4">
        <v>351.96</v>
      </c>
      <c r="H865" s="4">
        <v>8.8000000000000007</v>
      </c>
      <c r="I865" s="4">
        <v>28.16</v>
      </c>
      <c r="J865" s="4">
        <v>59.6</v>
      </c>
      <c r="K865" s="4">
        <v>232.1</v>
      </c>
      <c r="L865">
        <f t="shared" si="26"/>
        <v>2026</v>
      </c>
      <c r="M865">
        <f t="shared" si="27"/>
        <v>2</v>
      </c>
    </row>
    <row r="866" spans="1:13" ht="15" customHeight="1" x14ac:dyDescent="0.2">
      <c r="A866" s="3">
        <v>46150</v>
      </c>
      <c r="B866" t="s">
        <v>916</v>
      </c>
      <c r="C866" t="s">
        <v>541</v>
      </c>
      <c r="D866" t="s">
        <v>38</v>
      </c>
      <c r="E866" s="4">
        <v>408.27</v>
      </c>
      <c r="F866" s="4">
        <v>79.61</v>
      </c>
      <c r="G866" s="4">
        <v>351.96</v>
      </c>
      <c r="H866" s="4">
        <v>8.8000000000000007</v>
      </c>
      <c r="I866" s="4">
        <v>28.16</v>
      </c>
      <c r="J866" s="4">
        <v>59.6</v>
      </c>
      <c r="K866" s="4">
        <v>232.1</v>
      </c>
      <c r="L866">
        <f t="shared" si="26"/>
        <v>2026</v>
      </c>
      <c r="M866">
        <f t="shared" si="27"/>
        <v>2</v>
      </c>
    </row>
    <row r="867" spans="1:13" ht="15" customHeight="1" x14ac:dyDescent="0.2">
      <c r="A867" s="3">
        <v>46151</v>
      </c>
      <c r="B867" t="s">
        <v>917</v>
      </c>
      <c r="C867" t="s">
        <v>31</v>
      </c>
      <c r="D867" t="s">
        <v>38</v>
      </c>
      <c r="E867" s="4">
        <v>953</v>
      </c>
      <c r="F867" s="4">
        <v>95.3</v>
      </c>
      <c r="G867" s="4">
        <v>821.55</v>
      </c>
      <c r="H867" s="4">
        <v>20.54</v>
      </c>
      <c r="I867" s="4">
        <v>65.72</v>
      </c>
      <c r="J867" s="4">
        <v>74.5</v>
      </c>
      <c r="K867" s="4">
        <v>696.94</v>
      </c>
      <c r="L867">
        <f t="shared" si="26"/>
        <v>2026</v>
      </c>
      <c r="M867">
        <f t="shared" si="27"/>
        <v>2</v>
      </c>
    </row>
    <row r="868" spans="1:13" ht="15" customHeight="1" x14ac:dyDescent="0.2">
      <c r="A868" s="3">
        <v>46151</v>
      </c>
      <c r="B868" t="s">
        <v>918</v>
      </c>
      <c r="C868" t="s">
        <v>31</v>
      </c>
      <c r="D868" t="s">
        <v>93</v>
      </c>
      <c r="E868" s="4">
        <v>953</v>
      </c>
      <c r="F868" s="4">
        <v>95.3</v>
      </c>
      <c r="G868" s="4">
        <v>821.55</v>
      </c>
      <c r="H868" s="4">
        <v>20.54</v>
      </c>
      <c r="I868" s="4">
        <v>65.72</v>
      </c>
      <c r="J868" s="4">
        <v>74.5</v>
      </c>
      <c r="K868" s="4">
        <v>696.94</v>
      </c>
      <c r="L868">
        <f t="shared" si="26"/>
        <v>2026</v>
      </c>
      <c r="M868">
        <f t="shared" si="27"/>
        <v>2</v>
      </c>
    </row>
    <row r="869" spans="1:13" ht="15" customHeight="1" x14ac:dyDescent="0.2">
      <c r="A869" s="3">
        <v>46152</v>
      </c>
      <c r="B869" t="s">
        <v>919</v>
      </c>
      <c r="C869" t="s">
        <v>541</v>
      </c>
      <c r="D869" t="s">
        <v>93</v>
      </c>
      <c r="E869" s="4">
        <v>386.32</v>
      </c>
      <c r="F869" s="4">
        <v>75.33</v>
      </c>
      <c r="G869" s="4">
        <v>333.03</v>
      </c>
      <c r="H869" s="4">
        <v>8.33</v>
      </c>
      <c r="I869" s="4">
        <v>26.64</v>
      </c>
      <c r="J869" s="4">
        <v>67.599999999999994</v>
      </c>
      <c r="K869" s="4">
        <v>208.42</v>
      </c>
      <c r="L869">
        <f t="shared" si="26"/>
        <v>2026</v>
      </c>
      <c r="M869">
        <f t="shared" si="27"/>
        <v>2</v>
      </c>
    </row>
    <row r="870" spans="1:13" ht="15" customHeight="1" x14ac:dyDescent="0.2">
      <c r="A870" s="3">
        <v>46153</v>
      </c>
      <c r="B870" t="s">
        <v>920</v>
      </c>
      <c r="C870" t="s">
        <v>848</v>
      </c>
      <c r="D870" t="s">
        <v>59</v>
      </c>
      <c r="E870" s="4">
        <v>379.05</v>
      </c>
      <c r="F870" s="4">
        <v>73.91</v>
      </c>
      <c r="G870" s="4">
        <v>326.77</v>
      </c>
      <c r="H870" s="4">
        <v>8.17</v>
      </c>
      <c r="I870" s="4">
        <v>26.14</v>
      </c>
      <c r="J870" s="4">
        <v>67.599999999999994</v>
      </c>
      <c r="K870" s="4">
        <v>203.22</v>
      </c>
      <c r="L870">
        <f t="shared" si="26"/>
        <v>2026</v>
      </c>
      <c r="M870">
        <f t="shared" si="27"/>
        <v>2</v>
      </c>
    </row>
    <row r="871" spans="1:13" ht="15" customHeight="1" x14ac:dyDescent="0.2">
      <c r="A871" s="3">
        <v>46153</v>
      </c>
      <c r="B871" t="s">
        <v>921</v>
      </c>
      <c r="C871" t="s">
        <v>848</v>
      </c>
      <c r="D871" t="s">
        <v>38</v>
      </c>
      <c r="E871" s="4">
        <v>379.05</v>
      </c>
      <c r="F871" s="4">
        <v>73.91</v>
      </c>
      <c r="G871" s="4">
        <v>326.77</v>
      </c>
      <c r="H871" s="4">
        <v>8.17</v>
      </c>
      <c r="I871" s="4">
        <v>26.14</v>
      </c>
      <c r="J871" s="4">
        <v>67.599999999999994</v>
      </c>
      <c r="K871" s="4">
        <v>203.22</v>
      </c>
      <c r="L871">
        <f t="shared" si="26"/>
        <v>2026</v>
      </c>
      <c r="M871">
        <f t="shared" si="27"/>
        <v>2</v>
      </c>
    </row>
    <row r="872" spans="1:13" ht="15" customHeight="1" x14ac:dyDescent="0.2">
      <c r="A872" s="3">
        <v>46153</v>
      </c>
      <c r="B872" t="s">
        <v>922</v>
      </c>
      <c r="C872" t="s">
        <v>31</v>
      </c>
      <c r="D872" t="s">
        <v>40</v>
      </c>
      <c r="E872" s="4">
        <v>970</v>
      </c>
      <c r="F872" s="4">
        <v>97</v>
      </c>
      <c r="G872" s="4">
        <v>836.21</v>
      </c>
      <c r="H872" s="4">
        <v>20.91</v>
      </c>
      <c r="I872" s="4">
        <v>66.900000000000006</v>
      </c>
      <c r="J872" s="4">
        <v>74.5</v>
      </c>
      <c r="K872" s="4">
        <v>710.7</v>
      </c>
      <c r="L872">
        <f t="shared" si="26"/>
        <v>2026</v>
      </c>
      <c r="M872">
        <f t="shared" si="27"/>
        <v>2</v>
      </c>
    </row>
    <row r="873" spans="1:13" ht="15" customHeight="1" x14ac:dyDescent="0.2">
      <c r="A873" s="3">
        <v>46154</v>
      </c>
      <c r="B873" t="s">
        <v>923</v>
      </c>
      <c r="C873" t="s">
        <v>31</v>
      </c>
      <c r="D873" t="s">
        <v>59</v>
      </c>
      <c r="E873" s="4">
        <v>970</v>
      </c>
      <c r="F873" s="4">
        <v>97</v>
      </c>
      <c r="G873" s="4">
        <v>836.21</v>
      </c>
      <c r="H873" s="4">
        <v>20.91</v>
      </c>
      <c r="I873" s="4">
        <v>66.900000000000006</v>
      </c>
      <c r="J873" s="4">
        <v>74.5</v>
      </c>
      <c r="K873" s="4">
        <v>710.7</v>
      </c>
      <c r="L873">
        <f t="shared" si="26"/>
        <v>2026</v>
      </c>
      <c r="M873">
        <f t="shared" si="27"/>
        <v>2</v>
      </c>
    </row>
    <row r="874" spans="1:13" ht="15" customHeight="1" x14ac:dyDescent="0.2">
      <c r="A874" s="3">
        <v>46155</v>
      </c>
      <c r="B874" t="s">
        <v>924</v>
      </c>
      <c r="C874" t="s">
        <v>848</v>
      </c>
      <c r="D874" t="s">
        <v>129</v>
      </c>
      <c r="E874" s="4">
        <v>386.32</v>
      </c>
      <c r="F874" s="4">
        <v>75.33</v>
      </c>
      <c r="G874" s="4">
        <v>333.03</v>
      </c>
      <c r="H874" s="4">
        <v>8.33</v>
      </c>
      <c r="I874" s="4">
        <v>26.64</v>
      </c>
      <c r="J874" s="4">
        <v>59.6</v>
      </c>
      <c r="K874" s="4">
        <v>216.42</v>
      </c>
      <c r="L874">
        <f t="shared" si="26"/>
        <v>2026</v>
      </c>
      <c r="M874">
        <f t="shared" si="27"/>
        <v>2</v>
      </c>
    </row>
    <row r="875" spans="1:13" ht="15" customHeight="1" x14ac:dyDescent="0.2">
      <c r="A875" s="3">
        <v>46155</v>
      </c>
      <c r="B875" t="s">
        <v>925</v>
      </c>
      <c r="C875" t="s">
        <v>90</v>
      </c>
      <c r="D875" t="s">
        <v>59</v>
      </c>
      <c r="E875" s="4">
        <v>269.10000000000002</v>
      </c>
      <c r="F875" s="4">
        <v>39.020000000000003</v>
      </c>
      <c r="G875" s="4">
        <v>231.98</v>
      </c>
      <c r="H875" s="4">
        <v>5.8</v>
      </c>
      <c r="I875" s="4">
        <v>18.559999999999999</v>
      </c>
      <c r="J875" s="4">
        <v>52.4</v>
      </c>
      <c r="K875" s="4">
        <v>153.32</v>
      </c>
      <c r="L875">
        <f t="shared" si="26"/>
        <v>2026</v>
      </c>
      <c r="M875">
        <f t="shared" si="27"/>
        <v>2</v>
      </c>
    </row>
    <row r="876" spans="1:13" ht="15" customHeight="1" x14ac:dyDescent="0.2">
      <c r="A876" s="3">
        <v>46155</v>
      </c>
      <c r="B876" t="s">
        <v>926</v>
      </c>
      <c r="C876" t="s">
        <v>541</v>
      </c>
      <c r="D876" t="s">
        <v>93</v>
      </c>
      <c r="E876" s="4">
        <v>408.27</v>
      </c>
      <c r="F876" s="4">
        <v>79.61</v>
      </c>
      <c r="G876" s="4">
        <v>351.96</v>
      </c>
      <c r="H876" s="4">
        <v>8.8000000000000007</v>
      </c>
      <c r="I876" s="4">
        <v>28.16</v>
      </c>
      <c r="J876" s="4">
        <v>67.599999999999994</v>
      </c>
      <c r="K876" s="4">
        <v>224.1</v>
      </c>
      <c r="L876">
        <f t="shared" si="26"/>
        <v>2026</v>
      </c>
      <c r="M876">
        <f t="shared" si="27"/>
        <v>2</v>
      </c>
    </row>
    <row r="877" spans="1:13" ht="15" customHeight="1" x14ac:dyDescent="0.2">
      <c r="A877" s="3">
        <v>46155</v>
      </c>
      <c r="B877" t="s">
        <v>927</v>
      </c>
      <c r="C877" t="s">
        <v>848</v>
      </c>
      <c r="D877" t="s">
        <v>77</v>
      </c>
      <c r="E877" s="4">
        <v>379.05</v>
      </c>
      <c r="F877" s="4">
        <v>73.91</v>
      </c>
      <c r="G877" s="4">
        <v>326.77</v>
      </c>
      <c r="H877" s="4">
        <v>8.17</v>
      </c>
      <c r="I877" s="4">
        <v>26.14</v>
      </c>
      <c r="J877" s="4">
        <v>67.599999999999994</v>
      </c>
      <c r="K877" s="4">
        <v>203.22</v>
      </c>
      <c r="L877">
        <f t="shared" si="26"/>
        <v>2026</v>
      </c>
      <c r="M877">
        <f t="shared" si="27"/>
        <v>2</v>
      </c>
    </row>
    <row r="878" spans="1:13" ht="15" customHeight="1" x14ac:dyDescent="0.2">
      <c r="A878" s="3">
        <v>46155</v>
      </c>
      <c r="B878" t="s">
        <v>928</v>
      </c>
      <c r="C878" t="s">
        <v>115</v>
      </c>
      <c r="D878" t="s">
        <v>164</v>
      </c>
      <c r="E878" s="4">
        <v>1681.94</v>
      </c>
      <c r="F878" s="4">
        <v>243.88</v>
      </c>
      <c r="G878" s="4">
        <v>1449.95</v>
      </c>
      <c r="H878" s="4">
        <v>36.25</v>
      </c>
      <c r="I878" s="4">
        <v>116</v>
      </c>
      <c r="J878" s="4">
        <v>74.5</v>
      </c>
      <c r="K878" s="4">
        <v>1211.31</v>
      </c>
      <c r="L878">
        <f t="shared" si="26"/>
        <v>2026</v>
      </c>
      <c r="M878">
        <f t="shared" si="27"/>
        <v>2</v>
      </c>
    </row>
    <row r="879" spans="1:13" ht="15" customHeight="1" x14ac:dyDescent="0.2">
      <c r="A879" s="3">
        <v>46156</v>
      </c>
      <c r="B879" t="s">
        <v>929</v>
      </c>
      <c r="C879" t="s">
        <v>90</v>
      </c>
      <c r="D879" t="s">
        <v>129</v>
      </c>
      <c r="E879" s="4">
        <v>538.20000000000005</v>
      </c>
      <c r="F879" s="4">
        <v>78.040000000000006</v>
      </c>
      <c r="G879" s="4">
        <v>463.97</v>
      </c>
      <c r="H879" s="4">
        <v>11.6</v>
      </c>
      <c r="I879" s="4">
        <v>37.119999999999997</v>
      </c>
      <c r="J879" s="4">
        <v>104.8</v>
      </c>
      <c r="K879" s="4">
        <v>306.64</v>
      </c>
      <c r="L879">
        <f t="shared" si="26"/>
        <v>2026</v>
      </c>
      <c r="M879">
        <f t="shared" si="27"/>
        <v>2</v>
      </c>
    </row>
    <row r="880" spans="1:13" ht="15" customHeight="1" x14ac:dyDescent="0.2">
      <c r="A880" s="3">
        <v>46156</v>
      </c>
      <c r="B880" t="s">
        <v>930</v>
      </c>
      <c r="C880" t="s">
        <v>31</v>
      </c>
      <c r="D880" t="s">
        <v>175</v>
      </c>
      <c r="E880" s="4">
        <v>970</v>
      </c>
      <c r="F880" s="4">
        <v>97</v>
      </c>
      <c r="G880" s="4">
        <v>836.21</v>
      </c>
      <c r="H880" s="4">
        <v>20.91</v>
      </c>
      <c r="I880" s="4">
        <v>66.900000000000006</v>
      </c>
      <c r="J880" s="4">
        <v>74.5</v>
      </c>
      <c r="K880" s="4">
        <v>710.7</v>
      </c>
      <c r="L880">
        <f t="shared" si="26"/>
        <v>2026</v>
      </c>
      <c r="M880">
        <f t="shared" si="27"/>
        <v>2</v>
      </c>
    </row>
    <row r="881" spans="1:13" ht="15" customHeight="1" x14ac:dyDescent="0.2">
      <c r="A881" s="3">
        <v>46156</v>
      </c>
      <c r="B881" t="s">
        <v>931</v>
      </c>
      <c r="C881" t="s">
        <v>848</v>
      </c>
      <c r="D881" t="s">
        <v>24</v>
      </c>
      <c r="E881" s="4">
        <v>379.05</v>
      </c>
      <c r="F881" s="4">
        <v>73.91</v>
      </c>
      <c r="G881" s="4">
        <v>326.77</v>
      </c>
      <c r="H881" s="4">
        <v>8.17</v>
      </c>
      <c r="I881" s="4">
        <v>26.14</v>
      </c>
      <c r="J881" s="4">
        <v>67.599999999999994</v>
      </c>
      <c r="K881" s="4">
        <v>203.22</v>
      </c>
      <c r="L881">
        <f t="shared" si="26"/>
        <v>2026</v>
      </c>
      <c r="M881">
        <f t="shared" si="27"/>
        <v>2</v>
      </c>
    </row>
    <row r="882" spans="1:13" ht="15" customHeight="1" x14ac:dyDescent="0.2">
      <c r="A882" s="3">
        <v>46157</v>
      </c>
      <c r="B882" t="s">
        <v>932</v>
      </c>
      <c r="C882" t="s">
        <v>31</v>
      </c>
      <c r="D882" t="s">
        <v>93</v>
      </c>
      <c r="E882" s="4">
        <v>970</v>
      </c>
      <c r="F882" s="4">
        <v>97</v>
      </c>
      <c r="G882" s="4">
        <v>836.21</v>
      </c>
      <c r="H882" s="4">
        <v>20.91</v>
      </c>
      <c r="I882" s="4">
        <v>66.900000000000006</v>
      </c>
      <c r="J882" s="4">
        <v>74.5</v>
      </c>
      <c r="K882" s="4">
        <v>710.7</v>
      </c>
      <c r="L882">
        <f t="shared" si="26"/>
        <v>2026</v>
      </c>
      <c r="M882">
        <f t="shared" si="27"/>
        <v>2</v>
      </c>
    </row>
    <row r="883" spans="1:13" ht="15" customHeight="1" x14ac:dyDescent="0.2">
      <c r="A883" s="3">
        <v>46158</v>
      </c>
      <c r="B883" t="s">
        <v>933</v>
      </c>
      <c r="C883" t="s">
        <v>726</v>
      </c>
      <c r="D883" t="s">
        <v>38</v>
      </c>
      <c r="E883" s="4">
        <v>379.05</v>
      </c>
      <c r="F883" s="4">
        <v>73.91</v>
      </c>
      <c r="G883" s="4">
        <v>326.77</v>
      </c>
      <c r="H883" s="4">
        <v>8.17</v>
      </c>
      <c r="I883" s="4">
        <v>26.14</v>
      </c>
      <c r="J883" s="4">
        <v>67.599999999999994</v>
      </c>
      <c r="K883" s="4">
        <v>203.22</v>
      </c>
      <c r="L883">
        <f t="shared" si="26"/>
        <v>2026</v>
      </c>
      <c r="M883">
        <f t="shared" si="27"/>
        <v>2</v>
      </c>
    </row>
    <row r="884" spans="1:13" ht="15" customHeight="1" x14ac:dyDescent="0.2">
      <c r="A884" s="3">
        <v>46159</v>
      </c>
      <c r="B884" t="s">
        <v>934</v>
      </c>
      <c r="C884" t="s">
        <v>90</v>
      </c>
      <c r="D884" t="s">
        <v>24</v>
      </c>
      <c r="E884" s="4">
        <v>254.15</v>
      </c>
      <c r="F884" s="4">
        <v>36.85</v>
      </c>
      <c r="G884" s="4">
        <v>219.09</v>
      </c>
      <c r="H884" s="4">
        <v>5.48</v>
      </c>
      <c r="I884" s="4">
        <v>17.53</v>
      </c>
      <c r="J884" s="4">
        <v>52.4</v>
      </c>
      <c r="K884" s="4">
        <v>141.88999999999999</v>
      </c>
      <c r="L884">
        <f t="shared" si="26"/>
        <v>2026</v>
      </c>
      <c r="M884">
        <f t="shared" si="27"/>
        <v>2</v>
      </c>
    </row>
    <row r="885" spans="1:13" ht="15" customHeight="1" x14ac:dyDescent="0.2">
      <c r="A885" s="3">
        <v>46159</v>
      </c>
      <c r="B885" t="s">
        <v>934</v>
      </c>
      <c r="C885" t="s">
        <v>90</v>
      </c>
      <c r="D885" t="s">
        <v>24</v>
      </c>
      <c r="E885" s="4">
        <v>254.15</v>
      </c>
      <c r="F885" s="4">
        <v>36.85</v>
      </c>
      <c r="G885" s="4">
        <v>219.09</v>
      </c>
      <c r="H885" s="4">
        <v>5.48</v>
      </c>
      <c r="I885" s="4">
        <v>17.53</v>
      </c>
      <c r="J885" s="4">
        <v>52.4</v>
      </c>
      <c r="K885" s="4">
        <v>141.88999999999999</v>
      </c>
      <c r="L885">
        <f t="shared" si="26"/>
        <v>2026</v>
      </c>
      <c r="M885">
        <f t="shared" si="27"/>
        <v>2</v>
      </c>
    </row>
    <row r="886" spans="1:13" ht="15" customHeight="1" x14ac:dyDescent="0.2">
      <c r="A886" s="3">
        <v>46159</v>
      </c>
      <c r="B886" t="s">
        <v>934</v>
      </c>
      <c r="C886" t="s">
        <v>333</v>
      </c>
      <c r="D886" t="s">
        <v>24</v>
      </c>
      <c r="E886" s="4">
        <v>363.09</v>
      </c>
      <c r="F886" s="4">
        <v>52.65</v>
      </c>
      <c r="G886" s="4">
        <v>313.01</v>
      </c>
      <c r="H886" s="4">
        <v>7.83</v>
      </c>
      <c r="I886" s="4">
        <v>25.04</v>
      </c>
      <c r="J886" s="4">
        <v>76</v>
      </c>
      <c r="K886" s="4">
        <v>201.58</v>
      </c>
      <c r="L886">
        <f t="shared" si="26"/>
        <v>2026</v>
      </c>
      <c r="M886">
        <f t="shared" si="27"/>
        <v>2</v>
      </c>
    </row>
    <row r="887" spans="1:13" ht="15" customHeight="1" x14ac:dyDescent="0.2">
      <c r="A887" s="3">
        <v>46159</v>
      </c>
      <c r="B887" t="s">
        <v>935</v>
      </c>
      <c r="C887" t="s">
        <v>848</v>
      </c>
      <c r="D887" t="s">
        <v>65</v>
      </c>
      <c r="E887" s="4">
        <v>379.05</v>
      </c>
      <c r="F887" s="4">
        <v>73.91</v>
      </c>
      <c r="G887" s="4">
        <v>326.77</v>
      </c>
      <c r="H887" s="4">
        <v>8.17</v>
      </c>
      <c r="I887" s="4">
        <v>26.14</v>
      </c>
      <c r="J887" s="4">
        <v>67.599999999999994</v>
      </c>
      <c r="K887" s="4">
        <v>203.22</v>
      </c>
      <c r="L887">
        <f t="shared" si="26"/>
        <v>2026</v>
      </c>
      <c r="M887">
        <f t="shared" si="27"/>
        <v>2</v>
      </c>
    </row>
    <row r="888" spans="1:13" ht="15" customHeight="1" x14ac:dyDescent="0.2">
      <c r="A888" s="3">
        <v>46160</v>
      </c>
      <c r="B888" t="s">
        <v>936</v>
      </c>
      <c r="C888" t="s">
        <v>79</v>
      </c>
      <c r="D888" t="s">
        <v>38</v>
      </c>
      <c r="E888" s="4">
        <v>302.58</v>
      </c>
      <c r="F888" s="4">
        <v>59</v>
      </c>
      <c r="G888" s="4">
        <v>260.83999999999997</v>
      </c>
      <c r="H888" s="4">
        <v>6.52</v>
      </c>
      <c r="I888" s="4">
        <v>20.87</v>
      </c>
      <c r="J888" s="4">
        <v>67.599999999999994</v>
      </c>
      <c r="K888" s="4">
        <v>148.59</v>
      </c>
      <c r="L888">
        <f t="shared" si="26"/>
        <v>2026</v>
      </c>
      <c r="M888">
        <f t="shared" si="27"/>
        <v>2</v>
      </c>
    </row>
    <row r="889" spans="1:13" ht="15" customHeight="1" x14ac:dyDescent="0.2">
      <c r="A889" s="3">
        <v>46160</v>
      </c>
      <c r="B889" t="s">
        <v>937</v>
      </c>
      <c r="C889" t="s">
        <v>31</v>
      </c>
      <c r="D889" t="s">
        <v>38</v>
      </c>
      <c r="E889" s="4">
        <v>970</v>
      </c>
      <c r="F889" s="4">
        <v>97</v>
      </c>
      <c r="G889" s="4">
        <v>836.21</v>
      </c>
      <c r="H889" s="4">
        <v>20.91</v>
      </c>
      <c r="I889" s="4">
        <v>66.900000000000006</v>
      </c>
      <c r="J889" s="4">
        <v>74.5</v>
      </c>
      <c r="K889" s="4">
        <v>710.7</v>
      </c>
      <c r="L889">
        <f t="shared" si="26"/>
        <v>2026</v>
      </c>
      <c r="M889">
        <f t="shared" si="27"/>
        <v>2</v>
      </c>
    </row>
    <row r="890" spans="1:13" ht="15" customHeight="1" x14ac:dyDescent="0.2">
      <c r="A890" s="3">
        <v>46160</v>
      </c>
      <c r="B890" t="s">
        <v>938</v>
      </c>
      <c r="C890" t="s">
        <v>848</v>
      </c>
      <c r="D890" t="s">
        <v>38</v>
      </c>
      <c r="E890" s="4">
        <v>379.05</v>
      </c>
      <c r="F890" s="4">
        <v>73.91</v>
      </c>
      <c r="G890" s="4">
        <v>326.77</v>
      </c>
      <c r="H890" s="4">
        <v>8.17</v>
      </c>
      <c r="I890" s="4">
        <v>26.14</v>
      </c>
      <c r="J890" s="4">
        <v>67.599999999999994</v>
      </c>
      <c r="K890" s="4">
        <v>203.22</v>
      </c>
      <c r="L890">
        <f t="shared" si="26"/>
        <v>2026</v>
      </c>
      <c r="M890">
        <f t="shared" si="27"/>
        <v>2</v>
      </c>
    </row>
    <row r="891" spans="1:13" ht="15" customHeight="1" x14ac:dyDescent="0.2">
      <c r="A891" s="3">
        <v>46161</v>
      </c>
      <c r="B891" t="s">
        <v>939</v>
      </c>
      <c r="C891" t="s">
        <v>31</v>
      </c>
      <c r="D891" t="s">
        <v>59</v>
      </c>
      <c r="E891" s="4">
        <v>970</v>
      </c>
      <c r="F891" s="4">
        <v>97</v>
      </c>
      <c r="G891" s="4">
        <v>836.21</v>
      </c>
      <c r="H891" s="4">
        <v>20.91</v>
      </c>
      <c r="I891" s="4">
        <v>66.900000000000006</v>
      </c>
      <c r="J891" s="4">
        <v>74.5</v>
      </c>
      <c r="K891" s="4">
        <v>710.7</v>
      </c>
      <c r="L891">
        <f t="shared" si="26"/>
        <v>2026</v>
      </c>
      <c r="M891">
        <f t="shared" si="27"/>
        <v>2</v>
      </c>
    </row>
    <row r="892" spans="1:13" ht="15" customHeight="1" x14ac:dyDescent="0.2">
      <c r="A892" s="3">
        <v>46162</v>
      </c>
      <c r="B892" t="s">
        <v>940</v>
      </c>
      <c r="C892" t="s">
        <v>187</v>
      </c>
      <c r="D892" t="s">
        <v>40</v>
      </c>
      <c r="E892" s="4">
        <v>299</v>
      </c>
      <c r="F892" s="4">
        <v>58.31</v>
      </c>
      <c r="G892" s="4">
        <v>257.76</v>
      </c>
      <c r="H892" s="4">
        <v>6.44</v>
      </c>
      <c r="I892" s="4">
        <v>20.62</v>
      </c>
      <c r="J892" s="4">
        <v>59.6</v>
      </c>
      <c r="K892" s="4">
        <v>154.03</v>
      </c>
      <c r="L892">
        <f t="shared" si="26"/>
        <v>2026</v>
      </c>
      <c r="M892">
        <f t="shared" si="27"/>
        <v>2</v>
      </c>
    </row>
    <row r="893" spans="1:13" ht="15" customHeight="1" x14ac:dyDescent="0.2">
      <c r="A893" s="3">
        <v>46163</v>
      </c>
      <c r="B893" t="s">
        <v>941</v>
      </c>
      <c r="C893" t="s">
        <v>90</v>
      </c>
      <c r="D893" t="s">
        <v>232</v>
      </c>
      <c r="E893" s="4">
        <v>254.15</v>
      </c>
      <c r="F893" s="4">
        <v>36.85</v>
      </c>
      <c r="G893" s="4">
        <v>219.09</v>
      </c>
      <c r="H893" s="4">
        <v>5.48</v>
      </c>
      <c r="I893" s="4">
        <v>17.53</v>
      </c>
      <c r="J893" s="4">
        <v>52.4</v>
      </c>
      <c r="K893" s="4">
        <v>141.88999999999999</v>
      </c>
      <c r="L893">
        <f t="shared" si="26"/>
        <v>2026</v>
      </c>
      <c r="M893">
        <f t="shared" si="27"/>
        <v>2</v>
      </c>
    </row>
    <row r="894" spans="1:13" ht="15" customHeight="1" x14ac:dyDescent="0.2">
      <c r="A894" s="3">
        <v>46165</v>
      </c>
      <c r="B894" t="s">
        <v>942</v>
      </c>
      <c r="C894" t="s">
        <v>770</v>
      </c>
      <c r="D894" t="s">
        <v>77</v>
      </c>
      <c r="E894" s="4">
        <v>369</v>
      </c>
      <c r="F894" s="4">
        <v>71.959999999999994</v>
      </c>
      <c r="G894" s="4">
        <v>318.10000000000002</v>
      </c>
      <c r="H894" s="4">
        <v>7.95</v>
      </c>
      <c r="I894" s="4">
        <v>25.45</v>
      </c>
      <c r="J894" s="4">
        <v>34.33</v>
      </c>
      <c r="K894" s="4">
        <v>229.31</v>
      </c>
      <c r="L894">
        <f t="shared" si="26"/>
        <v>2026</v>
      </c>
      <c r="M894">
        <f t="shared" si="27"/>
        <v>2</v>
      </c>
    </row>
    <row r="895" spans="1:13" ht="15" customHeight="1" x14ac:dyDescent="0.2">
      <c r="A895" s="3">
        <v>46165</v>
      </c>
      <c r="B895" t="s">
        <v>942</v>
      </c>
      <c r="C895" t="s">
        <v>770</v>
      </c>
      <c r="D895" t="s">
        <v>77</v>
      </c>
      <c r="E895" s="4">
        <v>369</v>
      </c>
      <c r="F895" s="4">
        <v>71.959999999999994</v>
      </c>
      <c r="G895" s="4">
        <v>318.10000000000002</v>
      </c>
      <c r="H895" s="4">
        <v>7.95</v>
      </c>
      <c r="I895" s="4">
        <v>25.45</v>
      </c>
      <c r="J895" s="4">
        <v>34.33</v>
      </c>
      <c r="K895" s="4">
        <v>229.31</v>
      </c>
      <c r="L895">
        <f t="shared" si="26"/>
        <v>2026</v>
      </c>
      <c r="M895">
        <f t="shared" si="27"/>
        <v>2</v>
      </c>
    </row>
    <row r="896" spans="1:13" ht="15" customHeight="1" x14ac:dyDescent="0.2">
      <c r="A896" s="3">
        <v>46165</v>
      </c>
      <c r="B896" t="s">
        <v>943</v>
      </c>
      <c r="C896" t="s">
        <v>726</v>
      </c>
      <c r="D896" t="s">
        <v>77</v>
      </c>
      <c r="E896" s="4">
        <v>379.05</v>
      </c>
      <c r="F896" s="4">
        <v>56.86</v>
      </c>
      <c r="G896" s="4">
        <v>326.77</v>
      </c>
      <c r="H896" s="4">
        <v>8.17</v>
      </c>
      <c r="I896" s="4">
        <v>26.14</v>
      </c>
      <c r="J896" s="4">
        <v>67.599999999999994</v>
      </c>
      <c r="K896" s="4">
        <v>220.28</v>
      </c>
      <c r="L896">
        <f t="shared" si="26"/>
        <v>2026</v>
      </c>
      <c r="M896">
        <f t="shared" si="27"/>
        <v>2</v>
      </c>
    </row>
    <row r="897" spans="1:13" ht="15" customHeight="1" x14ac:dyDescent="0.2">
      <c r="A897" s="3">
        <v>46167</v>
      </c>
      <c r="B897" t="s">
        <v>944</v>
      </c>
      <c r="C897" t="s">
        <v>90</v>
      </c>
      <c r="D897" t="s">
        <v>27</v>
      </c>
      <c r="E897" s="4">
        <v>254.15</v>
      </c>
      <c r="F897" s="4">
        <v>36.85</v>
      </c>
      <c r="G897" s="4">
        <v>219.09</v>
      </c>
      <c r="H897" s="4">
        <v>5.48</v>
      </c>
      <c r="I897" s="4">
        <v>17.53</v>
      </c>
      <c r="J897" s="4">
        <v>52.4</v>
      </c>
      <c r="K897" s="4">
        <v>141.88999999999999</v>
      </c>
      <c r="L897">
        <f t="shared" si="26"/>
        <v>2026</v>
      </c>
      <c r="M897">
        <f t="shared" si="27"/>
        <v>2</v>
      </c>
    </row>
    <row r="898" spans="1:13" ht="15" customHeight="1" x14ac:dyDescent="0.2">
      <c r="A898" s="3">
        <v>46167</v>
      </c>
      <c r="B898" t="s">
        <v>945</v>
      </c>
      <c r="C898" t="s">
        <v>115</v>
      </c>
      <c r="D898" t="s">
        <v>93</v>
      </c>
      <c r="E898" s="4">
        <v>1681.94</v>
      </c>
      <c r="F898" s="4">
        <v>243.88</v>
      </c>
      <c r="G898" s="4">
        <v>1449.95</v>
      </c>
      <c r="H898" s="4">
        <v>36.25</v>
      </c>
      <c r="I898" s="4">
        <v>116</v>
      </c>
      <c r="J898" s="4">
        <v>74.5</v>
      </c>
      <c r="K898" s="4">
        <v>1211.31</v>
      </c>
      <c r="L898">
        <f t="shared" ref="L898:L950" si="28">YEAR(A898)</f>
        <v>2026</v>
      </c>
      <c r="M898">
        <f t="shared" ref="M898:M950" si="29">ROUNDUP(MONTH(A898)/3,0)</f>
        <v>2</v>
      </c>
    </row>
    <row r="899" spans="1:13" ht="15" customHeight="1" x14ac:dyDescent="0.2">
      <c r="A899" s="3">
        <v>46169</v>
      </c>
      <c r="B899" t="s">
        <v>946</v>
      </c>
      <c r="C899" t="s">
        <v>726</v>
      </c>
      <c r="D899" t="s">
        <v>38</v>
      </c>
      <c r="E899" s="4">
        <v>387.03</v>
      </c>
      <c r="F899" s="4">
        <v>58.05</v>
      </c>
      <c r="G899" s="4">
        <v>333.65</v>
      </c>
      <c r="H899" s="4">
        <v>8.34</v>
      </c>
      <c r="I899" s="4">
        <v>26.69</v>
      </c>
      <c r="J899" s="4">
        <v>67.599999999999994</v>
      </c>
      <c r="K899" s="4">
        <v>226.34</v>
      </c>
      <c r="L899">
        <f t="shared" si="28"/>
        <v>2026</v>
      </c>
      <c r="M899">
        <f t="shared" si="29"/>
        <v>2</v>
      </c>
    </row>
    <row r="900" spans="1:13" ht="15" customHeight="1" x14ac:dyDescent="0.2">
      <c r="A900" s="3">
        <v>46170</v>
      </c>
      <c r="B900" t="s">
        <v>947</v>
      </c>
      <c r="C900" t="s">
        <v>848</v>
      </c>
      <c r="D900" t="s">
        <v>27</v>
      </c>
      <c r="E900" s="4">
        <v>387.03</v>
      </c>
      <c r="F900" s="4">
        <v>58.05</v>
      </c>
      <c r="G900" s="4">
        <v>333.65</v>
      </c>
      <c r="H900" s="4">
        <v>8.34</v>
      </c>
      <c r="I900" s="4">
        <v>26.69</v>
      </c>
      <c r="J900" s="4">
        <v>67.599999999999994</v>
      </c>
      <c r="K900" s="4">
        <v>226.34</v>
      </c>
      <c r="L900">
        <f t="shared" si="28"/>
        <v>2026</v>
      </c>
      <c r="M900">
        <f t="shared" si="29"/>
        <v>2</v>
      </c>
    </row>
    <row r="901" spans="1:13" ht="15" customHeight="1" x14ac:dyDescent="0.2">
      <c r="A901" s="3">
        <v>46170</v>
      </c>
      <c r="B901" t="s">
        <v>948</v>
      </c>
      <c r="C901" t="s">
        <v>90</v>
      </c>
      <c r="D901" t="s">
        <v>38</v>
      </c>
      <c r="E901" s="4">
        <v>254.15</v>
      </c>
      <c r="F901" s="4">
        <v>36.85</v>
      </c>
      <c r="G901" s="4">
        <v>219.09</v>
      </c>
      <c r="H901" s="4">
        <v>5.48</v>
      </c>
      <c r="I901" s="4">
        <v>17.53</v>
      </c>
      <c r="J901" s="4">
        <v>52.4</v>
      </c>
      <c r="K901" s="4">
        <v>141.88999999999999</v>
      </c>
      <c r="L901">
        <f t="shared" si="28"/>
        <v>2026</v>
      </c>
      <c r="M901">
        <f t="shared" si="29"/>
        <v>2</v>
      </c>
    </row>
    <row r="902" spans="1:13" ht="15" customHeight="1" x14ac:dyDescent="0.2">
      <c r="A902" s="3">
        <v>46170</v>
      </c>
      <c r="B902" t="s">
        <v>949</v>
      </c>
      <c r="C902" t="s">
        <v>92</v>
      </c>
      <c r="D902" t="s">
        <v>77</v>
      </c>
      <c r="E902" s="4">
        <v>387.03</v>
      </c>
      <c r="F902" s="4">
        <v>58.05</v>
      </c>
      <c r="G902" s="4">
        <v>333.65</v>
      </c>
      <c r="H902" s="4">
        <v>8.34</v>
      </c>
      <c r="I902" s="4">
        <v>26.69</v>
      </c>
      <c r="J902" s="4">
        <v>67.599999999999994</v>
      </c>
      <c r="K902" s="4">
        <v>226.34</v>
      </c>
      <c r="L902">
        <f t="shared" si="28"/>
        <v>2026</v>
      </c>
      <c r="M902">
        <f t="shared" si="29"/>
        <v>2</v>
      </c>
    </row>
    <row r="903" spans="1:13" ht="15" customHeight="1" x14ac:dyDescent="0.2">
      <c r="A903" s="3">
        <v>46173</v>
      </c>
      <c r="B903" t="s">
        <v>950</v>
      </c>
      <c r="C903" t="s">
        <v>848</v>
      </c>
      <c r="D903" t="s">
        <v>93</v>
      </c>
      <c r="E903" s="4">
        <v>387.03</v>
      </c>
      <c r="F903" s="4">
        <v>58.05</v>
      </c>
      <c r="G903" s="4">
        <v>333.65</v>
      </c>
      <c r="H903" s="4">
        <v>8.34</v>
      </c>
      <c r="I903" s="4">
        <v>26.69</v>
      </c>
      <c r="J903" s="4">
        <v>67.599999999999994</v>
      </c>
      <c r="K903" s="4">
        <v>226.34</v>
      </c>
      <c r="L903">
        <f t="shared" si="28"/>
        <v>2026</v>
      </c>
      <c r="M903">
        <f t="shared" si="29"/>
        <v>2</v>
      </c>
    </row>
    <row r="904" spans="1:13" ht="15" customHeight="1" x14ac:dyDescent="0.2">
      <c r="A904" s="3">
        <v>46174</v>
      </c>
      <c r="B904" t="s">
        <v>951</v>
      </c>
      <c r="C904" t="s">
        <v>90</v>
      </c>
      <c r="D904" t="s">
        <v>38</v>
      </c>
      <c r="E904" s="4">
        <v>239.2</v>
      </c>
      <c r="F904" s="4">
        <v>34.68</v>
      </c>
      <c r="G904" s="4">
        <v>206.21</v>
      </c>
      <c r="H904" s="4">
        <v>5.16</v>
      </c>
      <c r="I904" s="4">
        <v>16.5</v>
      </c>
      <c r="J904" s="4">
        <v>52.4</v>
      </c>
      <c r="K904" s="4">
        <v>130.46</v>
      </c>
      <c r="L904">
        <f t="shared" si="28"/>
        <v>2026</v>
      </c>
      <c r="M904">
        <f t="shared" si="29"/>
        <v>2</v>
      </c>
    </row>
    <row r="905" spans="1:13" ht="15" customHeight="1" x14ac:dyDescent="0.2">
      <c r="A905" s="3">
        <v>46177</v>
      </c>
      <c r="B905" t="s">
        <v>952</v>
      </c>
      <c r="C905" t="s">
        <v>541</v>
      </c>
      <c r="D905" t="s">
        <v>56</v>
      </c>
      <c r="E905" s="4">
        <v>387.03</v>
      </c>
      <c r="F905" s="4">
        <v>58.05</v>
      </c>
      <c r="G905" s="4">
        <v>333.65</v>
      </c>
      <c r="H905" s="4">
        <v>8.34</v>
      </c>
      <c r="I905" s="4">
        <v>26.69</v>
      </c>
      <c r="J905" s="4">
        <v>61.8</v>
      </c>
      <c r="K905" s="4">
        <v>232.14</v>
      </c>
      <c r="L905">
        <f t="shared" si="28"/>
        <v>2026</v>
      </c>
      <c r="M905">
        <f t="shared" si="29"/>
        <v>2</v>
      </c>
    </row>
    <row r="906" spans="1:13" ht="15" customHeight="1" x14ac:dyDescent="0.2">
      <c r="A906" s="3">
        <v>46177</v>
      </c>
      <c r="B906" t="s">
        <v>952</v>
      </c>
      <c r="C906" t="s">
        <v>726</v>
      </c>
      <c r="D906" t="s">
        <v>56</v>
      </c>
      <c r="E906" s="4">
        <v>387.03</v>
      </c>
      <c r="F906" s="4">
        <v>58.05</v>
      </c>
      <c r="G906" s="4">
        <v>333.65</v>
      </c>
      <c r="H906" s="4">
        <v>8.34</v>
      </c>
      <c r="I906" s="4">
        <v>26.69</v>
      </c>
      <c r="J906" s="4">
        <v>61.8</v>
      </c>
      <c r="K906" s="4">
        <v>232.14</v>
      </c>
      <c r="L906">
        <f t="shared" si="28"/>
        <v>2026</v>
      </c>
      <c r="M906">
        <f t="shared" si="29"/>
        <v>2</v>
      </c>
    </row>
    <row r="907" spans="1:13" ht="15" customHeight="1" x14ac:dyDescent="0.2">
      <c r="A907" s="3">
        <v>46178</v>
      </c>
      <c r="B907" t="s">
        <v>953</v>
      </c>
      <c r="C907" t="s">
        <v>333</v>
      </c>
      <c r="D907" t="s">
        <v>56</v>
      </c>
      <c r="E907" s="4">
        <v>363.09</v>
      </c>
      <c r="F907" s="4">
        <v>52.65</v>
      </c>
      <c r="G907" s="4">
        <v>313.01</v>
      </c>
      <c r="H907" s="4">
        <v>7.83</v>
      </c>
      <c r="I907" s="4">
        <v>25.04</v>
      </c>
      <c r="J907" s="4">
        <v>67.599999999999994</v>
      </c>
      <c r="K907" s="4">
        <v>209.98</v>
      </c>
      <c r="L907">
        <f t="shared" si="28"/>
        <v>2026</v>
      </c>
      <c r="M907">
        <f t="shared" si="29"/>
        <v>2</v>
      </c>
    </row>
    <row r="908" spans="1:13" ht="15" customHeight="1" x14ac:dyDescent="0.2">
      <c r="A908" s="3">
        <v>46178</v>
      </c>
      <c r="B908" t="s">
        <v>954</v>
      </c>
      <c r="C908" t="s">
        <v>515</v>
      </c>
      <c r="D908" t="s">
        <v>38</v>
      </c>
      <c r="E908" s="4">
        <v>387.03</v>
      </c>
      <c r="F908" s="4">
        <v>58.05</v>
      </c>
      <c r="G908" s="4">
        <v>333.65</v>
      </c>
      <c r="H908" s="4">
        <v>8.34</v>
      </c>
      <c r="I908" s="4">
        <v>26.69</v>
      </c>
      <c r="J908" s="4">
        <v>67.599999999999994</v>
      </c>
      <c r="K908" s="4">
        <v>226.34</v>
      </c>
      <c r="L908">
        <f t="shared" si="28"/>
        <v>2026</v>
      </c>
      <c r="M908">
        <f t="shared" si="29"/>
        <v>2</v>
      </c>
    </row>
    <row r="909" spans="1:13" ht="15" customHeight="1" x14ac:dyDescent="0.2">
      <c r="A909" s="3">
        <v>46179</v>
      </c>
      <c r="B909" t="s">
        <v>955</v>
      </c>
      <c r="C909" t="s">
        <v>307</v>
      </c>
      <c r="D909" t="s">
        <v>33</v>
      </c>
      <c r="E909" s="4">
        <v>302.58</v>
      </c>
      <c r="F909" s="4">
        <v>59</v>
      </c>
      <c r="G909" s="4">
        <v>260.83999999999997</v>
      </c>
      <c r="H909" s="4">
        <v>6.52</v>
      </c>
      <c r="I909" s="4">
        <v>20.87</v>
      </c>
      <c r="J909" s="4">
        <v>59.6</v>
      </c>
      <c r="K909" s="4">
        <v>156.59</v>
      </c>
      <c r="L909">
        <f t="shared" si="28"/>
        <v>2026</v>
      </c>
      <c r="M909">
        <f t="shared" si="29"/>
        <v>2</v>
      </c>
    </row>
    <row r="910" spans="1:13" ht="15" customHeight="1" x14ac:dyDescent="0.2">
      <c r="A910" s="3">
        <v>46180</v>
      </c>
      <c r="B910" t="s">
        <v>956</v>
      </c>
      <c r="C910" t="s">
        <v>726</v>
      </c>
      <c r="D910" t="s">
        <v>93</v>
      </c>
      <c r="E910" s="4">
        <v>439</v>
      </c>
      <c r="F910" s="4">
        <v>85.61</v>
      </c>
      <c r="G910" s="4">
        <v>378.45</v>
      </c>
      <c r="H910" s="4">
        <v>9.4600000000000009</v>
      </c>
      <c r="I910" s="4">
        <v>30.28</v>
      </c>
      <c r="J910" s="4">
        <v>59.6</v>
      </c>
      <c r="K910" s="4">
        <v>254.06</v>
      </c>
      <c r="L910">
        <f t="shared" si="28"/>
        <v>2026</v>
      </c>
      <c r="M910">
        <f t="shared" si="29"/>
        <v>2</v>
      </c>
    </row>
    <row r="911" spans="1:13" ht="15" customHeight="1" x14ac:dyDescent="0.2">
      <c r="A911" s="3">
        <v>46180</v>
      </c>
      <c r="B911" t="s">
        <v>957</v>
      </c>
      <c r="C911" t="s">
        <v>90</v>
      </c>
      <c r="D911" t="s">
        <v>38</v>
      </c>
      <c r="E911" s="4">
        <v>239.2</v>
      </c>
      <c r="F911" s="4">
        <v>34.68</v>
      </c>
      <c r="G911" s="4">
        <v>206.21</v>
      </c>
      <c r="H911" s="4">
        <v>5.16</v>
      </c>
      <c r="I911" s="4">
        <v>16.5</v>
      </c>
      <c r="J911" s="4">
        <v>52.4</v>
      </c>
      <c r="K911" s="4">
        <v>130.46</v>
      </c>
      <c r="L911">
        <f t="shared" si="28"/>
        <v>2026</v>
      </c>
      <c r="M911">
        <f t="shared" si="29"/>
        <v>2</v>
      </c>
    </row>
    <row r="912" spans="1:13" ht="15" customHeight="1" x14ac:dyDescent="0.2">
      <c r="A912" s="3">
        <v>46180</v>
      </c>
      <c r="B912" t="s">
        <v>958</v>
      </c>
      <c r="C912" t="s">
        <v>90</v>
      </c>
      <c r="D912" t="s">
        <v>21</v>
      </c>
      <c r="E912" s="4">
        <v>254.15</v>
      </c>
      <c r="F912" s="4">
        <v>36.85</v>
      </c>
      <c r="G912" s="4">
        <v>219.09</v>
      </c>
      <c r="H912" s="4">
        <v>5.48</v>
      </c>
      <c r="I912" s="4">
        <v>17.53</v>
      </c>
      <c r="J912" s="4">
        <v>52.4</v>
      </c>
      <c r="K912" s="4">
        <v>141.88999999999999</v>
      </c>
      <c r="L912">
        <f t="shared" si="28"/>
        <v>2026</v>
      </c>
      <c r="M912">
        <f t="shared" si="29"/>
        <v>2</v>
      </c>
    </row>
    <row r="913" spans="1:13" ht="15" customHeight="1" x14ac:dyDescent="0.2">
      <c r="A913" s="3">
        <v>46180</v>
      </c>
      <c r="B913" t="s">
        <v>959</v>
      </c>
      <c r="C913" t="s">
        <v>162</v>
      </c>
      <c r="D913" t="s">
        <v>33</v>
      </c>
      <c r="E913" s="4">
        <v>1699</v>
      </c>
      <c r="F913" s="4">
        <v>246.36</v>
      </c>
      <c r="G913" s="4">
        <v>1464.66</v>
      </c>
      <c r="H913" s="4">
        <v>36.619999999999997</v>
      </c>
      <c r="I913" s="4">
        <v>117.17</v>
      </c>
      <c r="J913" s="4">
        <v>84.5</v>
      </c>
      <c r="K913" s="4">
        <v>1214.3599999999999</v>
      </c>
      <c r="L913">
        <f t="shared" si="28"/>
        <v>2026</v>
      </c>
      <c r="M913">
        <f t="shared" si="29"/>
        <v>2</v>
      </c>
    </row>
    <row r="914" spans="1:13" ht="15" customHeight="1" x14ac:dyDescent="0.2">
      <c r="A914" s="3">
        <v>46181</v>
      </c>
      <c r="B914" t="s">
        <v>960</v>
      </c>
      <c r="C914" t="s">
        <v>90</v>
      </c>
      <c r="D914" t="s">
        <v>38</v>
      </c>
      <c r="E914" s="4">
        <v>508.3</v>
      </c>
      <c r="F914" s="4">
        <v>73.7</v>
      </c>
      <c r="G914" s="4">
        <v>438.19</v>
      </c>
      <c r="H914" s="4">
        <v>10.95</v>
      </c>
      <c r="I914" s="4">
        <v>35.06</v>
      </c>
      <c r="J914" s="4">
        <v>104.8</v>
      </c>
      <c r="K914" s="4">
        <v>283.79000000000002</v>
      </c>
      <c r="L914">
        <f t="shared" si="28"/>
        <v>2026</v>
      </c>
      <c r="M914">
        <f t="shared" si="29"/>
        <v>2</v>
      </c>
    </row>
    <row r="915" spans="1:13" ht="15" customHeight="1" x14ac:dyDescent="0.2">
      <c r="A915" s="3">
        <v>46183</v>
      </c>
      <c r="B915" t="s">
        <v>961</v>
      </c>
      <c r="C915" t="s">
        <v>90</v>
      </c>
      <c r="D915" t="s">
        <v>129</v>
      </c>
      <c r="E915" s="4">
        <v>478.4</v>
      </c>
      <c r="F915" s="4">
        <v>69.37</v>
      </c>
      <c r="G915" s="4">
        <v>412.41</v>
      </c>
      <c r="H915" s="4">
        <v>10.31</v>
      </c>
      <c r="I915" s="4">
        <v>32.99</v>
      </c>
      <c r="J915" s="4">
        <v>104.8</v>
      </c>
      <c r="K915" s="4">
        <v>260.93</v>
      </c>
      <c r="L915">
        <f t="shared" si="28"/>
        <v>2026</v>
      </c>
      <c r="M915">
        <f t="shared" si="29"/>
        <v>2</v>
      </c>
    </row>
    <row r="916" spans="1:13" ht="15" customHeight="1" x14ac:dyDescent="0.2">
      <c r="A916" s="3">
        <v>46184</v>
      </c>
      <c r="B916" t="s">
        <v>962</v>
      </c>
      <c r="C916" t="s">
        <v>31</v>
      </c>
      <c r="D916" t="s">
        <v>129</v>
      </c>
      <c r="E916" s="4">
        <v>970</v>
      </c>
      <c r="F916" s="4">
        <v>106.7</v>
      </c>
      <c r="G916" s="4">
        <v>836.21</v>
      </c>
      <c r="H916" s="4">
        <v>20.91</v>
      </c>
      <c r="I916" s="4">
        <v>66.900000000000006</v>
      </c>
      <c r="J916" s="4">
        <v>74.5</v>
      </c>
      <c r="K916" s="4">
        <v>701</v>
      </c>
      <c r="L916">
        <f t="shared" si="28"/>
        <v>2026</v>
      </c>
      <c r="M916">
        <f t="shared" si="29"/>
        <v>2</v>
      </c>
    </row>
    <row r="917" spans="1:13" ht="15" customHeight="1" x14ac:dyDescent="0.2">
      <c r="A917" s="3">
        <v>46202</v>
      </c>
      <c r="B917" t="s">
        <v>963</v>
      </c>
      <c r="C917" t="s">
        <v>90</v>
      </c>
      <c r="D917" t="s">
        <v>85</v>
      </c>
      <c r="E917" s="4">
        <v>254.15</v>
      </c>
      <c r="F917" s="4">
        <v>36.85</v>
      </c>
      <c r="G917" s="4">
        <v>219.09</v>
      </c>
      <c r="H917" s="4">
        <v>5.48</v>
      </c>
      <c r="I917" s="4">
        <v>17.53</v>
      </c>
      <c r="J917" s="4">
        <v>52.4</v>
      </c>
      <c r="K917" s="4">
        <v>141.88999999999999</v>
      </c>
      <c r="L917">
        <f t="shared" si="28"/>
        <v>2026</v>
      </c>
      <c r="M917">
        <f t="shared" si="29"/>
        <v>2</v>
      </c>
    </row>
    <row r="918" spans="1:13" ht="15" customHeight="1" x14ac:dyDescent="0.2">
      <c r="A918" s="3">
        <v>46201</v>
      </c>
      <c r="B918" t="s">
        <v>964</v>
      </c>
      <c r="C918" t="s">
        <v>31</v>
      </c>
      <c r="D918" t="s">
        <v>38</v>
      </c>
      <c r="E918" s="4">
        <v>970</v>
      </c>
      <c r="F918" s="4">
        <v>106.7</v>
      </c>
      <c r="G918" s="4">
        <v>836.21</v>
      </c>
      <c r="H918" s="4">
        <v>20.91</v>
      </c>
      <c r="I918" s="4">
        <v>66.900000000000006</v>
      </c>
      <c r="J918" s="4">
        <v>74.5</v>
      </c>
      <c r="K918" s="4">
        <v>701</v>
      </c>
      <c r="L918">
        <f t="shared" si="28"/>
        <v>2026</v>
      </c>
      <c r="M918">
        <f t="shared" si="29"/>
        <v>2</v>
      </c>
    </row>
    <row r="919" spans="1:13" ht="15" customHeight="1" x14ac:dyDescent="0.2">
      <c r="A919" s="3">
        <v>46199</v>
      </c>
      <c r="B919" t="s">
        <v>773</v>
      </c>
      <c r="C919" t="s">
        <v>31</v>
      </c>
      <c r="D919" t="s">
        <v>38</v>
      </c>
      <c r="E919" s="4">
        <v>970</v>
      </c>
      <c r="F919" s="4">
        <v>106.7</v>
      </c>
      <c r="G919" s="4">
        <v>836.21</v>
      </c>
      <c r="H919" s="4">
        <v>20.91</v>
      </c>
      <c r="I919" s="4">
        <v>66.900000000000006</v>
      </c>
      <c r="J919" s="4">
        <v>74.5</v>
      </c>
      <c r="K919" s="4">
        <v>701</v>
      </c>
      <c r="L919">
        <f t="shared" si="28"/>
        <v>2026</v>
      </c>
      <c r="M919">
        <f t="shared" si="29"/>
        <v>2</v>
      </c>
    </row>
    <row r="920" spans="1:13" ht="15" customHeight="1" x14ac:dyDescent="0.2">
      <c r="A920" s="3">
        <v>46198</v>
      </c>
      <c r="B920" t="s">
        <v>965</v>
      </c>
      <c r="C920" t="s">
        <v>90</v>
      </c>
      <c r="D920" t="s">
        <v>38</v>
      </c>
      <c r="E920" s="4">
        <v>254.15</v>
      </c>
      <c r="F920" s="4">
        <v>36.85</v>
      </c>
      <c r="G920" s="4">
        <v>219.09</v>
      </c>
      <c r="H920" s="4">
        <v>5.48</v>
      </c>
      <c r="I920" s="4">
        <v>17.53</v>
      </c>
      <c r="J920" s="4">
        <v>52.4</v>
      </c>
      <c r="K920" s="4">
        <v>141.88999999999999</v>
      </c>
      <c r="L920">
        <f t="shared" si="28"/>
        <v>2026</v>
      </c>
      <c r="M920">
        <f t="shared" si="29"/>
        <v>2</v>
      </c>
    </row>
    <row r="921" spans="1:13" ht="15" customHeight="1" x14ac:dyDescent="0.2">
      <c r="A921" s="3">
        <v>46198</v>
      </c>
      <c r="B921" t="s">
        <v>966</v>
      </c>
      <c r="C921" t="s">
        <v>90</v>
      </c>
      <c r="D921" t="s">
        <v>21</v>
      </c>
      <c r="E921" s="4">
        <v>254.15</v>
      </c>
      <c r="F921" s="4">
        <v>36.85</v>
      </c>
      <c r="G921" s="4">
        <v>219.09</v>
      </c>
      <c r="H921" s="4">
        <v>5.48</v>
      </c>
      <c r="I921" s="4">
        <v>17.53</v>
      </c>
      <c r="J921" s="4">
        <v>52.4</v>
      </c>
      <c r="K921" s="4">
        <v>141.88999999999999</v>
      </c>
      <c r="L921">
        <f t="shared" si="28"/>
        <v>2026</v>
      </c>
      <c r="M921">
        <f t="shared" si="29"/>
        <v>2</v>
      </c>
    </row>
    <row r="922" spans="1:13" ht="15" customHeight="1" x14ac:dyDescent="0.2">
      <c r="A922" s="3">
        <v>46193</v>
      </c>
      <c r="B922" t="s">
        <v>967</v>
      </c>
      <c r="C922" t="s">
        <v>90</v>
      </c>
      <c r="D922" t="s">
        <v>56</v>
      </c>
      <c r="E922" s="4">
        <v>254.15</v>
      </c>
      <c r="F922" s="4">
        <v>36.85</v>
      </c>
      <c r="G922" s="4">
        <v>219.09</v>
      </c>
      <c r="H922" s="4">
        <v>5.48</v>
      </c>
      <c r="I922" s="4">
        <v>17.53</v>
      </c>
      <c r="J922" s="4">
        <v>52.4</v>
      </c>
      <c r="K922" s="4">
        <v>141.88999999999999</v>
      </c>
      <c r="L922">
        <f t="shared" si="28"/>
        <v>2026</v>
      </c>
      <c r="M922">
        <f t="shared" si="29"/>
        <v>2</v>
      </c>
    </row>
    <row r="923" spans="1:13" ht="15" customHeight="1" x14ac:dyDescent="0.2">
      <c r="A923" s="3">
        <v>46193</v>
      </c>
      <c r="B923" t="s">
        <v>968</v>
      </c>
      <c r="C923" t="s">
        <v>90</v>
      </c>
      <c r="D923" t="s">
        <v>143</v>
      </c>
      <c r="E923" s="4">
        <v>254.15</v>
      </c>
      <c r="F923" s="4">
        <v>36.85</v>
      </c>
      <c r="G923" s="4">
        <v>219.09</v>
      </c>
      <c r="H923" s="4">
        <v>5.48</v>
      </c>
      <c r="I923" s="4">
        <v>17.53</v>
      </c>
      <c r="J923" s="4">
        <v>52.4</v>
      </c>
      <c r="K923" s="4">
        <v>141.88999999999999</v>
      </c>
      <c r="L923">
        <f t="shared" si="28"/>
        <v>2026</v>
      </c>
      <c r="M923">
        <f t="shared" si="29"/>
        <v>2</v>
      </c>
    </row>
    <row r="924" spans="1:13" ht="15" customHeight="1" x14ac:dyDescent="0.2">
      <c r="A924" s="3">
        <v>46193</v>
      </c>
      <c r="B924" t="s">
        <v>968</v>
      </c>
      <c r="C924" t="s">
        <v>90</v>
      </c>
      <c r="D924" t="s">
        <v>143</v>
      </c>
      <c r="E924" s="4">
        <v>254.15</v>
      </c>
      <c r="F924" s="4">
        <v>36.85</v>
      </c>
      <c r="G924" s="4">
        <v>219.09</v>
      </c>
      <c r="H924" s="4">
        <v>5.48</v>
      </c>
      <c r="I924" s="4">
        <v>17.53</v>
      </c>
      <c r="J924" s="4">
        <v>52.4</v>
      </c>
      <c r="K924" s="4">
        <v>141.88999999999999</v>
      </c>
      <c r="L924">
        <f t="shared" si="28"/>
        <v>2026</v>
      </c>
      <c r="M924">
        <f t="shared" si="29"/>
        <v>2</v>
      </c>
    </row>
    <row r="925" spans="1:13" ht="15" customHeight="1" x14ac:dyDescent="0.2">
      <c r="A925" s="3">
        <v>46188</v>
      </c>
      <c r="B925" t="s">
        <v>969</v>
      </c>
      <c r="C925" t="s">
        <v>31</v>
      </c>
      <c r="D925" t="s">
        <v>35</v>
      </c>
      <c r="E925" s="4">
        <v>970</v>
      </c>
      <c r="F925" s="4">
        <v>106.7</v>
      </c>
      <c r="G925" s="4">
        <v>836.21</v>
      </c>
      <c r="H925" s="4">
        <v>20.91</v>
      </c>
      <c r="I925" s="4">
        <v>66.900000000000006</v>
      </c>
      <c r="J925" s="4">
        <v>74.5</v>
      </c>
      <c r="K925" s="4">
        <v>701</v>
      </c>
      <c r="L925">
        <f t="shared" si="28"/>
        <v>2026</v>
      </c>
      <c r="M925">
        <f t="shared" si="29"/>
        <v>2</v>
      </c>
    </row>
    <row r="926" spans="1:13" ht="15" customHeight="1" x14ac:dyDescent="0.2">
      <c r="A926" s="3">
        <v>46188</v>
      </c>
      <c r="B926" t="s">
        <v>970</v>
      </c>
      <c r="C926" t="s">
        <v>711</v>
      </c>
      <c r="D926" t="s">
        <v>49</v>
      </c>
      <c r="E926" s="4">
        <v>439</v>
      </c>
      <c r="F926" s="4">
        <v>85.61</v>
      </c>
      <c r="G926" s="4">
        <v>378.45</v>
      </c>
      <c r="H926" s="4">
        <v>9.4600000000000009</v>
      </c>
      <c r="I926" s="4">
        <v>30.28</v>
      </c>
      <c r="J926" s="4">
        <v>59.6</v>
      </c>
      <c r="K926" s="4">
        <v>254.06</v>
      </c>
      <c r="L926">
        <f t="shared" si="28"/>
        <v>2026</v>
      </c>
      <c r="M926">
        <f t="shared" si="29"/>
        <v>2</v>
      </c>
    </row>
    <row r="927" spans="1:13" ht="15" customHeight="1" x14ac:dyDescent="0.2">
      <c r="A927" s="3">
        <v>46188</v>
      </c>
      <c r="B927" t="s">
        <v>971</v>
      </c>
      <c r="C927" t="s">
        <v>711</v>
      </c>
      <c r="D927" t="s">
        <v>93</v>
      </c>
      <c r="E927" s="4">
        <v>439</v>
      </c>
      <c r="F927" s="4">
        <v>85.61</v>
      </c>
      <c r="G927" s="4">
        <v>378.45</v>
      </c>
      <c r="H927" s="4">
        <v>9.4600000000000009</v>
      </c>
      <c r="I927" s="4">
        <v>30.28</v>
      </c>
      <c r="J927" s="4">
        <v>59.6</v>
      </c>
      <c r="K927" s="4">
        <v>254.06</v>
      </c>
      <c r="L927">
        <f t="shared" si="28"/>
        <v>2026</v>
      </c>
      <c r="M927">
        <f t="shared" si="29"/>
        <v>2</v>
      </c>
    </row>
    <row r="928" spans="1:13" ht="15" customHeight="1" x14ac:dyDescent="0.2">
      <c r="A928" s="3">
        <v>46205</v>
      </c>
      <c r="B928" t="s">
        <v>972</v>
      </c>
      <c r="C928" t="s">
        <v>515</v>
      </c>
      <c r="D928" t="s">
        <v>93</v>
      </c>
      <c r="E928" s="4">
        <v>395.1</v>
      </c>
      <c r="F928" s="4">
        <v>77.040000000000006</v>
      </c>
      <c r="G928" s="4">
        <v>340.6</v>
      </c>
      <c r="H928" s="4">
        <v>8.52</v>
      </c>
      <c r="I928" s="4">
        <v>27.25</v>
      </c>
      <c r="J928" s="4">
        <v>67.599999999999994</v>
      </c>
      <c r="K928" s="4">
        <v>214.69</v>
      </c>
      <c r="L928">
        <f t="shared" si="28"/>
        <v>2026</v>
      </c>
      <c r="M928">
        <f t="shared" si="29"/>
        <v>3</v>
      </c>
    </row>
    <row r="929" spans="1:13" ht="15" customHeight="1" x14ac:dyDescent="0.2">
      <c r="A929" s="3">
        <v>46207</v>
      </c>
      <c r="B929" t="s">
        <v>973</v>
      </c>
      <c r="C929" t="s">
        <v>31</v>
      </c>
      <c r="D929" t="s">
        <v>38</v>
      </c>
      <c r="E929" s="4">
        <v>970</v>
      </c>
      <c r="F929" s="4">
        <v>106.7</v>
      </c>
      <c r="G929" s="4">
        <v>836.21</v>
      </c>
      <c r="H929" s="4">
        <v>20.91</v>
      </c>
      <c r="I929" s="4">
        <v>66.900000000000006</v>
      </c>
      <c r="J929" s="4">
        <v>74.5</v>
      </c>
      <c r="K929" s="4">
        <v>701</v>
      </c>
      <c r="L929">
        <f t="shared" si="28"/>
        <v>2026</v>
      </c>
      <c r="M929">
        <f t="shared" si="29"/>
        <v>3</v>
      </c>
    </row>
    <row r="930" spans="1:13" ht="15" customHeight="1" x14ac:dyDescent="0.2">
      <c r="A930" s="3">
        <v>46207</v>
      </c>
      <c r="B930" t="s">
        <v>974</v>
      </c>
      <c r="C930" t="s">
        <v>975</v>
      </c>
      <c r="D930" t="s">
        <v>129</v>
      </c>
      <c r="E930" s="4">
        <v>784.83</v>
      </c>
      <c r="F930" s="4">
        <v>153.04</v>
      </c>
      <c r="G930" s="4">
        <v>676.58</v>
      </c>
      <c r="H930" s="4">
        <v>16.91</v>
      </c>
      <c r="I930" s="4">
        <v>54.13</v>
      </c>
      <c r="J930" s="4">
        <v>95.5</v>
      </c>
      <c r="K930" s="4">
        <v>465.25</v>
      </c>
      <c r="L930">
        <f t="shared" si="28"/>
        <v>2026</v>
      </c>
      <c r="M930">
        <f t="shared" si="29"/>
        <v>3</v>
      </c>
    </row>
    <row r="931" spans="1:13" ht="15" customHeight="1" x14ac:dyDescent="0.2">
      <c r="A931" s="3">
        <v>46207</v>
      </c>
      <c r="B931" t="s">
        <v>976</v>
      </c>
      <c r="C931" t="s">
        <v>90</v>
      </c>
      <c r="D931" t="s">
        <v>21</v>
      </c>
      <c r="E931" s="4">
        <v>254.15</v>
      </c>
      <c r="F931" s="4">
        <v>36.85</v>
      </c>
      <c r="G931" s="4">
        <v>219.09</v>
      </c>
      <c r="H931" s="4">
        <v>5.48</v>
      </c>
      <c r="I931" s="4">
        <v>17.53</v>
      </c>
      <c r="J931" s="4">
        <v>52.4</v>
      </c>
      <c r="K931" s="4">
        <v>141.88999999999999</v>
      </c>
      <c r="L931">
        <f t="shared" si="28"/>
        <v>2026</v>
      </c>
      <c r="M931">
        <f t="shared" si="29"/>
        <v>3</v>
      </c>
    </row>
    <row r="932" spans="1:13" ht="15" customHeight="1" x14ac:dyDescent="0.2">
      <c r="A932" s="3">
        <v>46207</v>
      </c>
      <c r="B932" t="s">
        <v>977</v>
      </c>
      <c r="C932" t="s">
        <v>726</v>
      </c>
      <c r="D932" t="s">
        <v>24</v>
      </c>
      <c r="E932" s="4">
        <v>395.1</v>
      </c>
      <c r="F932" s="4">
        <v>59.27</v>
      </c>
      <c r="G932" s="4">
        <v>340.6</v>
      </c>
      <c r="H932" s="4">
        <v>8.52</v>
      </c>
      <c r="I932" s="4">
        <v>27.25</v>
      </c>
      <c r="J932" s="4">
        <v>59.6</v>
      </c>
      <c r="K932" s="4">
        <v>240.47</v>
      </c>
      <c r="L932">
        <f t="shared" si="28"/>
        <v>2026</v>
      </c>
      <c r="M932">
        <f t="shared" si="29"/>
        <v>3</v>
      </c>
    </row>
    <row r="933" spans="1:13" ht="15" customHeight="1" x14ac:dyDescent="0.2">
      <c r="A933" s="3">
        <v>46207</v>
      </c>
      <c r="B933" t="s">
        <v>978</v>
      </c>
      <c r="C933" t="s">
        <v>52</v>
      </c>
      <c r="D933" t="s">
        <v>49</v>
      </c>
      <c r="E933" s="4">
        <v>299</v>
      </c>
      <c r="F933" s="4">
        <v>58.31</v>
      </c>
      <c r="G933" s="4">
        <v>257.76</v>
      </c>
      <c r="H933" s="4">
        <v>6.44</v>
      </c>
      <c r="I933" s="4">
        <v>20.62</v>
      </c>
      <c r="J933" s="4">
        <v>59.6</v>
      </c>
      <c r="K933" s="4">
        <v>154.03</v>
      </c>
      <c r="L933">
        <f t="shared" si="28"/>
        <v>2026</v>
      </c>
      <c r="M933">
        <f t="shared" si="29"/>
        <v>3</v>
      </c>
    </row>
    <row r="934" spans="1:13" ht="15" customHeight="1" x14ac:dyDescent="0.2">
      <c r="A934" s="3">
        <v>46209</v>
      </c>
      <c r="B934" t="s">
        <v>979</v>
      </c>
      <c r="C934" t="s">
        <v>541</v>
      </c>
      <c r="D934" t="s">
        <v>143</v>
      </c>
      <c r="E934" s="4">
        <v>395.1</v>
      </c>
      <c r="F934" s="4">
        <v>59.27</v>
      </c>
      <c r="G934" s="4">
        <v>340.6</v>
      </c>
      <c r="H934" s="4">
        <v>8.52</v>
      </c>
      <c r="I934" s="4">
        <v>27.25</v>
      </c>
      <c r="J934" s="4">
        <v>67.599999999999994</v>
      </c>
      <c r="K934" s="4">
        <v>232.47</v>
      </c>
      <c r="L934">
        <f t="shared" si="28"/>
        <v>2026</v>
      </c>
      <c r="M934">
        <f t="shared" si="29"/>
        <v>3</v>
      </c>
    </row>
    <row r="935" spans="1:13" ht="15" customHeight="1" x14ac:dyDescent="0.2">
      <c r="A935" s="3">
        <v>46209</v>
      </c>
      <c r="B935" t="s">
        <v>980</v>
      </c>
      <c r="C935" t="s">
        <v>975</v>
      </c>
      <c r="D935" t="s">
        <v>33</v>
      </c>
      <c r="E935" s="4">
        <v>784.83</v>
      </c>
      <c r="F935" s="4">
        <v>153.04</v>
      </c>
      <c r="G935" s="4">
        <v>676.58</v>
      </c>
      <c r="H935" s="4">
        <v>16.91</v>
      </c>
      <c r="I935" s="4">
        <v>54.13</v>
      </c>
      <c r="J935" s="4">
        <v>95.5</v>
      </c>
      <c r="K935" s="4">
        <v>465.25</v>
      </c>
      <c r="L935">
        <f t="shared" si="28"/>
        <v>2026</v>
      </c>
      <c r="M935">
        <f t="shared" si="29"/>
        <v>3</v>
      </c>
    </row>
    <row r="936" spans="1:13" ht="15" customHeight="1" x14ac:dyDescent="0.2">
      <c r="A936" s="3">
        <v>46210</v>
      </c>
      <c r="B936" t="s">
        <v>981</v>
      </c>
      <c r="C936" t="s">
        <v>31</v>
      </c>
      <c r="D936" t="s">
        <v>49</v>
      </c>
      <c r="E936" s="4">
        <v>970</v>
      </c>
      <c r="F936" s="4">
        <v>106.7</v>
      </c>
      <c r="G936" s="4">
        <v>836.21</v>
      </c>
      <c r="H936" s="4">
        <v>20.91</v>
      </c>
      <c r="I936" s="4">
        <v>66.900000000000006</v>
      </c>
      <c r="J936" s="4">
        <v>74.5</v>
      </c>
      <c r="K936" s="4">
        <v>701</v>
      </c>
      <c r="L936">
        <f t="shared" si="28"/>
        <v>2026</v>
      </c>
      <c r="M936">
        <f t="shared" si="29"/>
        <v>3</v>
      </c>
    </row>
    <row r="937" spans="1:13" ht="15" customHeight="1" x14ac:dyDescent="0.2">
      <c r="A937" s="3">
        <v>46213</v>
      </c>
      <c r="B937" t="s">
        <v>982</v>
      </c>
      <c r="C937" t="s">
        <v>975</v>
      </c>
      <c r="D937" t="s">
        <v>24</v>
      </c>
      <c r="E937" s="4">
        <v>600</v>
      </c>
      <c r="F937" s="4">
        <v>117</v>
      </c>
      <c r="G937" s="4">
        <v>517.24</v>
      </c>
      <c r="H937" s="4">
        <v>12.93</v>
      </c>
      <c r="I937" s="4">
        <v>41.38</v>
      </c>
      <c r="J937" s="4">
        <v>95.5</v>
      </c>
      <c r="K937" s="4">
        <v>333.19</v>
      </c>
      <c r="L937">
        <f t="shared" si="28"/>
        <v>2026</v>
      </c>
      <c r="M937">
        <f t="shared" si="29"/>
        <v>3</v>
      </c>
    </row>
    <row r="938" spans="1:13" ht="15" customHeight="1" x14ac:dyDescent="0.2">
      <c r="A938" s="3">
        <v>46213</v>
      </c>
      <c r="B938" t="s">
        <v>983</v>
      </c>
      <c r="C938" t="s">
        <v>31</v>
      </c>
      <c r="D938" t="s">
        <v>93</v>
      </c>
      <c r="E938" s="4">
        <v>970</v>
      </c>
      <c r="F938" s="4">
        <v>106.7</v>
      </c>
      <c r="G938" s="4">
        <v>836.21</v>
      </c>
      <c r="H938" s="4">
        <v>20.91</v>
      </c>
      <c r="I938" s="4">
        <v>66.900000000000006</v>
      </c>
      <c r="J938" s="4">
        <v>74.5</v>
      </c>
      <c r="K938" s="4">
        <v>701</v>
      </c>
      <c r="L938">
        <f t="shared" si="28"/>
        <v>2026</v>
      </c>
      <c r="M938">
        <f t="shared" si="29"/>
        <v>3</v>
      </c>
    </row>
    <row r="939" spans="1:13" ht="15" customHeight="1" x14ac:dyDescent="0.2">
      <c r="A939" s="3">
        <v>46214</v>
      </c>
      <c r="B939" t="s">
        <v>984</v>
      </c>
      <c r="C939" t="s">
        <v>31</v>
      </c>
      <c r="D939" t="s">
        <v>53</v>
      </c>
      <c r="E939" s="4">
        <v>970</v>
      </c>
      <c r="F939" s="4">
        <v>106.7</v>
      </c>
      <c r="G939" s="4">
        <v>836.21</v>
      </c>
      <c r="H939" s="4">
        <v>20.91</v>
      </c>
      <c r="I939" s="4">
        <v>66.900000000000006</v>
      </c>
      <c r="J939" s="4">
        <v>74.5</v>
      </c>
      <c r="K939" s="4">
        <v>701</v>
      </c>
      <c r="L939">
        <f t="shared" si="28"/>
        <v>2026</v>
      </c>
      <c r="M939">
        <f t="shared" si="29"/>
        <v>3</v>
      </c>
    </row>
    <row r="940" spans="1:13" ht="15" customHeight="1" x14ac:dyDescent="0.2">
      <c r="A940" s="3">
        <v>46214</v>
      </c>
      <c r="B940" t="s">
        <v>985</v>
      </c>
      <c r="C940" t="s">
        <v>711</v>
      </c>
      <c r="D940" t="s">
        <v>93</v>
      </c>
      <c r="E940" s="4">
        <v>373.15</v>
      </c>
      <c r="F940" s="4">
        <v>72.760000000000005</v>
      </c>
      <c r="G940" s="4">
        <v>321.68</v>
      </c>
      <c r="H940" s="4">
        <v>8.0399999999999991</v>
      </c>
      <c r="I940" s="4">
        <v>25.73</v>
      </c>
      <c r="J940" s="4">
        <v>59.6</v>
      </c>
      <c r="K940" s="4">
        <v>207.01</v>
      </c>
      <c r="L940">
        <f t="shared" si="28"/>
        <v>2026</v>
      </c>
      <c r="M940">
        <f t="shared" si="29"/>
        <v>3</v>
      </c>
    </row>
    <row r="941" spans="1:13" ht="15" customHeight="1" x14ac:dyDescent="0.2">
      <c r="A941" s="3">
        <v>46218</v>
      </c>
      <c r="B941" t="s">
        <v>986</v>
      </c>
      <c r="C941" t="s">
        <v>307</v>
      </c>
      <c r="D941" t="s">
        <v>38</v>
      </c>
      <c r="E941" s="4">
        <v>299</v>
      </c>
      <c r="F941" s="4">
        <v>58.31</v>
      </c>
      <c r="G941" s="4">
        <v>257.76</v>
      </c>
      <c r="H941" s="4">
        <v>6.44</v>
      </c>
      <c r="I941" s="4">
        <v>20.62</v>
      </c>
      <c r="J941" s="4">
        <v>59.6</v>
      </c>
      <c r="K941" s="4">
        <v>154.03</v>
      </c>
      <c r="L941">
        <f t="shared" si="28"/>
        <v>2026</v>
      </c>
      <c r="M941">
        <f t="shared" si="29"/>
        <v>3</v>
      </c>
    </row>
    <row r="942" spans="1:13" ht="15" customHeight="1" x14ac:dyDescent="0.2">
      <c r="A942" s="3">
        <v>46220</v>
      </c>
      <c r="B942" t="s">
        <v>987</v>
      </c>
      <c r="C942" t="s">
        <v>123</v>
      </c>
      <c r="D942" t="s">
        <v>93</v>
      </c>
      <c r="E942" s="4">
        <v>333</v>
      </c>
      <c r="F942" s="4">
        <v>64.94</v>
      </c>
      <c r="G942" s="4">
        <v>287.07</v>
      </c>
      <c r="H942" s="4">
        <v>7.18</v>
      </c>
      <c r="I942" s="4">
        <v>22.97</v>
      </c>
      <c r="J942" s="4">
        <v>52.4</v>
      </c>
      <c r="K942" s="4">
        <v>185.52</v>
      </c>
      <c r="L942">
        <f t="shared" si="28"/>
        <v>2026</v>
      </c>
      <c r="M942">
        <f t="shared" si="29"/>
        <v>3</v>
      </c>
    </row>
    <row r="943" spans="1:13" ht="15" customHeight="1" x14ac:dyDescent="0.2">
      <c r="A943" s="3">
        <v>46220</v>
      </c>
      <c r="B943" t="s">
        <v>988</v>
      </c>
      <c r="C943" t="s">
        <v>975</v>
      </c>
      <c r="D943" t="s">
        <v>59</v>
      </c>
      <c r="E943" s="4">
        <v>600</v>
      </c>
      <c r="F943" s="4">
        <v>117</v>
      </c>
      <c r="G943" s="4">
        <v>517.24</v>
      </c>
      <c r="H943" s="4">
        <v>12.93</v>
      </c>
      <c r="I943" s="4">
        <v>41.38</v>
      </c>
      <c r="J943" s="4">
        <v>95.5</v>
      </c>
      <c r="K943" s="4">
        <v>333.19</v>
      </c>
      <c r="L943">
        <f t="shared" si="28"/>
        <v>2026</v>
      </c>
      <c r="M943">
        <f t="shared" si="29"/>
        <v>3</v>
      </c>
    </row>
    <row r="944" spans="1:13" ht="15" customHeight="1" x14ac:dyDescent="0.2">
      <c r="A944" s="3">
        <v>46223</v>
      </c>
      <c r="B944" t="s">
        <v>989</v>
      </c>
      <c r="C944" t="s">
        <v>975</v>
      </c>
      <c r="D944" t="s">
        <v>24</v>
      </c>
      <c r="E944" s="4">
        <v>600</v>
      </c>
      <c r="F944" s="4">
        <v>117</v>
      </c>
      <c r="G944" s="4">
        <v>517.24</v>
      </c>
      <c r="H944" s="4">
        <v>12.93</v>
      </c>
      <c r="I944" s="4">
        <v>41.38</v>
      </c>
      <c r="J944" s="4">
        <v>95.5</v>
      </c>
      <c r="K944" s="4">
        <v>333.19</v>
      </c>
      <c r="L944">
        <f t="shared" si="28"/>
        <v>2026</v>
      </c>
      <c r="M944">
        <f t="shared" si="29"/>
        <v>3</v>
      </c>
    </row>
    <row r="945" spans="1:13" ht="15" customHeight="1" x14ac:dyDescent="0.2">
      <c r="A945" s="3">
        <v>46223</v>
      </c>
      <c r="B945" t="s">
        <v>990</v>
      </c>
      <c r="C945" t="s">
        <v>711</v>
      </c>
      <c r="D945" t="s">
        <v>81</v>
      </c>
      <c r="E945" s="4">
        <v>329.25</v>
      </c>
      <c r="F945" s="4">
        <v>64.2</v>
      </c>
      <c r="G945" s="4">
        <v>283.83999999999997</v>
      </c>
      <c r="H945" s="4">
        <v>7.1</v>
      </c>
      <c r="I945" s="4">
        <v>22.71</v>
      </c>
      <c r="J945" s="4">
        <v>59.6</v>
      </c>
      <c r="K945" s="4">
        <v>175.64</v>
      </c>
      <c r="L945">
        <f t="shared" si="28"/>
        <v>2026</v>
      </c>
      <c r="M945">
        <f t="shared" si="29"/>
        <v>3</v>
      </c>
    </row>
    <row r="946" spans="1:13" ht="15" customHeight="1" x14ac:dyDescent="0.2">
      <c r="A946" s="3">
        <v>46224</v>
      </c>
      <c r="B946" t="s">
        <v>991</v>
      </c>
      <c r="C946" t="s">
        <v>333</v>
      </c>
      <c r="D946" t="s">
        <v>21</v>
      </c>
      <c r="E946" s="4">
        <v>399</v>
      </c>
      <c r="F946" s="4">
        <v>57.86</v>
      </c>
      <c r="G946" s="4">
        <v>343.97</v>
      </c>
      <c r="H946" s="4">
        <v>8.6</v>
      </c>
      <c r="I946" s="4">
        <v>27.52</v>
      </c>
      <c r="J946" s="4">
        <v>67.599999999999994</v>
      </c>
      <c r="K946" s="4">
        <v>237.43</v>
      </c>
      <c r="L946">
        <f t="shared" si="28"/>
        <v>2026</v>
      </c>
      <c r="M946">
        <f t="shared" si="29"/>
        <v>3</v>
      </c>
    </row>
    <row r="947" spans="1:13" ht="15" customHeight="1" x14ac:dyDescent="0.2">
      <c r="A947" s="3">
        <v>46224</v>
      </c>
      <c r="B947" t="s">
        <v>992</v>
      </c>
      <c r="C947" t="s">
        <v>711</v>
      </c>
      <c r="D947" t="s">
        <v>38</v>
      </c>
      <c r="E947" s="4">
        <v>351.2</v>
      </c>
      <c r="F947" s="4">
        <v>68.48</v>
      </c>
      <c r="G947" s="4">
        <v>302.76</v>
      </c>
      <c r="H947" s="4">
        <v>7.57</v>
      </c>
      <c r="I947" s="4">
        <v>24.22</v>
      </c>
      <c r="J947" s="4">
        <v>59.6</v>
      </c>
      <c r="K947" s="4">
        <v>191.33</v>
      </c>
      <c r="L947">
        <f t="shared" si="28"/>
        <v>2026</v>
      </c>
      <c r="M947">
        <f t="shared" si="29"/>
        <v>3</v>
      </c>
    </row>
    <row r="948" spans="1:13" ht="15" customHeight="1" x14ac:dyDescent="0.2">
      <c r="A948" s="3">
        <v>46224</v>
      </c>
      <c r="B948" t="s">
        <v>992</v>
      </c>
      <c r="C948" t="s">
        <v>726</v>
      </c>
      <c r="D948" t="s">
        <v>38</v>
      </c>
      <c r="E948" s="4">
        <v>351.2</v>
      </c>
      <c r="F948" s="4">
        <v>68.48</v>
      </c>
      <c r="G948" s="4">
        <v>302.76</v>
      </c>
      <c r="H948" s="4">
        <v>7.57</v>
      </c>
      <c r="I948" s="4">
        <v>24.22</v>
      </c>
      <c r="J948" s="4">
        <v>59.6</v>
      </c>
      <c r="K948" s="4">
        <v>191.33</v>
      </c>
      <c r="L948">
        <f t="shared" si="28"/>
        <v>2026</v>
      </c>
      <c r="M948">
        <f t="shared" si="29"/>
        <v>3</v>
      </c>
    </row>
    <row r="949" spans="1:13" ht="15" customHeight="1" x14ac:dyDescent="0.2">
      <c r="A949" s="3">
        <v>46224</v>
      </c>
      <c r="B949" t="s">
        <v>992</v>
      </c>
      <c r="C949" t="s">
        <v>848</v>
      </c>
      <c r="D949" t="s">
        <v>38</v>
      </c>
      <c r="E949" s="4">
        <v>351.2</v>
      </c>
      <c r="F949" s="4">
        <v>68.48</v>
      </c>
      <c r="G949" s="4">
        <v>302.76</v>
      </c>
      <c r="H949" s="4">
        <v>7.57</v>
      </c>
      <c r="I949" s="4">
        <v>24.22</v>
      </c>
      <c r="J949" s="4">
        <v>59.6</v>
      </c>
      <c r="K949" s="4">
        <v>191.33</v>
      </c>
      <c r="L949">
        <f t="shared" si="28"/>
        <v>2026</v>
      </c>
      <c r="M949">
        <f t="shared" si="29"/>
        <v>3</v>
      </c>
    </row>
    <row r="950" spans="1:13" ht="15" customHeight="1" x14ac:dyDescent="0.2">
      <c r="A950" s="3">
        <v>46225</v>
      </c>
      <c r="B950" t="s">
        <v>536</v>
      </c>
      <c r="C950" t="s">
        <v>515</v>
      </c>
      <c r="D950" t="s">
        <v>77</v>
      </c>
      <c r="E950" s="4">
        <v>351.2</v>
      </c>
      <c r="F950" s="4">
        <v>68.48</v>
      </c>
      <c r="G950" s="4">
        <v>302.76</v>
      </c>
      <c r="H950" s="4">
        <v>7.57</v>
      </c>
      <c r="I950" s="4">
        <v>24.22</v>
      </c>
      <c r="J950" s="4">
        <v>67.599999999999994</v>
      </c>
      <c r="K950" s="4">
        <v>183.33</v>
      </c>
      <c r="L950">
        <f t="shared" si="28"/>
        <v>2026</v>
      </c>
      <c r="M950">
        <f t="shared" si="29"/>
        <v>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0"/>
  <sheetViews>
    <sheetView showGridLines="0" topLeftCell="A112" zoomScaleNormal="100" workbookViewId="0">
      <selection activeCell="B10" sqref="B10"/>
    </sheetView>
  </sheetViews>
  <sheetFormatPr baseColWidth="10" defaultColWidth="8.6640625" defaultRowHeight="15" x14ac:dyDescent="0.2"/>
  <cols>
    <col min="1" max="1" width="38" customWidth="1"/>
    <col min="2" max="2" width="16" customWidth="1"/>
    <col min="3" max="3" width="18" customWidth="1"/>
  </cols>
  <sheetData>
    <row r="1" spans="1:3" ht="15" customHeight="1" x14ac:dyDescent="0.2">
      <c r="A1" s="5" t="s">
        <v>993</v>
      </c>
    </row>
    <row r="3" spans="1:3" ht="15" customHeight="1" x14ac:dyDescent="0.2">
      <c r="A3" s="11" t="s">
        <v>994</v>
      </c>
      <c r="B3" s="12">
        <f>SUM(Ventas!$E$2:$E$950)</f>
        <v>857992.67000000319</v>
      </c>
    </row>
    <row r="4" spans="1:3" ht="15" customHeight="1" x14ac:dyDescent="0.2">
      <c r="A4" s="11" t="s">
        <v>995</v>
      </c>
      <c r="B4" s="12">
        <f>SUM(Ventas!$K$2:$K$950)</f>
        <v>605336.54999999912</v>
      </c>
    </row>
    <row r="5" spans="1:3" ht="15" customHeight="1" x14ac:dyDescent="0.2">
      <c r="A5" s="11" t="s">
        <v>996</v>
      </c>
      <c r="B5" s="13">
        <f>COUNTA(Ventas!$B$2:$B$950)</f>
        <v>949</v>
      </c>
    </row>
    <row r="6" spans="1:3" ht="15" customHeight="1" x14ac:dyDescent="0.2">
      <c r="A6" s="11" t="s">
        <v>997</v>
      </c>
      <c r="B6" s="12">
        <f>B3/B5</f>
        <v>904.10186512118355</v>
      </c>
    </row>
    <row r="7" spans="1:3" ht="15" customHeight="1" x14ac:dyDescent="0.2">
      <c r="A7" s="11" t="s">
        <v>998</v>
      </c>
      <c r="B7" s="12">
        <f>B4/B5</f>
        <v>637.86780821917716</v>
      </c>
    </row>
    <row r="8" spans="1:3" ht="15" customHeight="1" x14ac:dyDescent="0.2">
      <c r="A8" s="11" t="s">
        <v>999</v>
      </c>
      <c r="B8" s="14">
        <f>B4/B3</f>
        <v>0.70552648194534906</v>
      </c>
    </row>
    <row r="10" spans="1:3" ht="15" customHeight="1" x14ac:dyDescent="0.2">
      <c r="A10" s="5" t="s">
        <v>1020</v>
      </c>
    </row>
    <row r="11" spans="1:3" ht="15" customHeight="1" x14ac:dyDescent="0.2">
      <c r="A11" s="6" t="s">
        <v>1021</v>
      </c>
      <c r="B11" s="6" t="s">
        <v>1000</v>
      </c>
      <c r="C11" s="6" t="s">
        <v>1022</v>
      </c>
    </row>
    <row r="12" spans="1:3" ht="15" customHeight="1" x14ac:dyDescent="0.2">
      <c r="A12" s="9">
        <v>2024</v>
      </c>
      <c r="B12" s="7">
        <f>SUMIFS(Ventas!$K$2:$K$950,Ventas!$L$2:$L$950,2024)</f>
        <v>176150.17999999976</v>
      </c>
      <c r="C12" s="9" t="s">
        <v>1001</v>
      </c>
    </row>
    <row r="13" spans="1:3" ht="15" customHeight="1" x14ac:dyDescent="0.2">
      <c r="A13" s="9">
        <v>2025</v>
      </c>
      <c r="B13" s="7">
        <f>SUMIFS(Ventas!$K$2:$K$950,Ventas!$L$2:$L$950,2025)</f>
        <v>303622.41000000003</v>
      </c>
      <c r="C13" s="8">
        <f>(B13-B12)/B12</f>
        <v>0.72365654125360779</v>
      </c>
    </row>
    <row r="14" spans="1:3" ht="15" customHeight="1" x14ac:dyDescent="0.2">
      <c r="A14" s="9">
        <v>2026</v>
      </c>
      <c r="B14" s="7">
        <f>SUMIFS(Ventas!$K$2:$K$950,Ventas!$L$2:$L$950,2026)</f>
        <v>125563.96000000005</v>
      </c>
      <c r="C14" s="8">
        <f>(B14-B13)/B13</f>
        <v>-0.58644699513451581</v>
      </c>
    </row>
    <row r="15" spans="1:3" ht="15" customHeight="1" x14ac:dyDescent="0.2">
      <c r="A15" s="10" t="s">
        <v>1002</v>
      </c>
    </row>
    <row r="17" spans="1:3" ht="15" customHeight="1" x14ac:dyDescent="0.2">
      <c r="A17" s="5" t="s">
        <v>1003</v>
      </c>
    </row>
    <row r="18" spans="1:3" ht="15" customHeight="1" x14ac:dyDescent="0.2">
      <c r="A18" s="6" t="s">
        <v>1004</v>
      </c>
      <c r="B18" s="6" t="s">
        <v>1000</v>
      </c>
    </row>
    <row r="19" spans="1:3" ht="15" customHeight="1" x14ac:dyDescent="0.2">
      <c r="A19" s="9" t="s">
        <v>1005</v>
      </c>
      <c r="B19" s="7">
        <f>SUMIFS(Ventas!$K$2:$K$950,Ventas!$L$2:$L$950,2024,Ventas!$M$2:$M$950,2)</f>
        <v>9853.4199999999983</v>
      </c>
    </row>
    <row r="20" spans="1:3" ht="15" customHeight="1" x14ac:dyDescent="0.2">
      <c r="A20" s="9" t="s">
        <v>1006</v>
      </c>
      <c r="B20" s="7">
        <f>SUMIFS(Ventas!$K$2:$K$950,Ventas!$L$2:$L$950,2024,Ventas!$M$2:$M$950,3)</f>
        <v>89487.419999999925</v>
      </c>
    </row>
    <row r="21" spans="1:3" ht="15" customHeight="1" x14ac:dyDescent="0.2">
      <c r="A21" s="9" t="s">
        <v>1007</v>
      </c>
      <c r="B21" s="7">
        <f>SUMIFS(Ventas!$K$2:$K$950,Ventas!$L$2:$L$950,2024,Ventas!$M$2:$M$950,4)</f>
        <v>76809.340000000011</v>
      </c>
    </row>
    <row r="22" spans="1:3" ht="15" customHeight="1" x14ac:dyDescent="0.2">
      <c r="A22" s="9" t="s">
        <v>1008</v>
      </c>
      <c r="B22" s="7">
        <f>SUMIFS(Ventas!$K$2:$K$950,Ventas!$L$2:$L$950,2025,Ventas!$M$2:$M$950,1)</f>
        <v>85683.610000000015</v>
      </c>
    </row>
    <row r="23" spans="1:3" ht="15" customHeight="1" x14ac:dyDescent="0.2">
      <c r="A23" s="9" t="s">
        <v>1009</v>
      </c>
      <c r="B23" s="7">
        <f>SUMIFS(Ventas!$K$2:$K$950,Ventas!$L$2:$L$950,2025,Ventas!$M$2:$M$950,2)</f>
        <v>66926.950000000012</v>
      </c>
    </row>
    <row r="24" spans="1:3" ht="15" customHeight="1" x14ac:dyDescent="0.2">
      <c r="A24" s="9" t="s">
        <v>1010</v>
      </c>
      <c r="B24" s="7">
        <f>SUMIFS(Ventas!$K$2:$K$950,Ventas!$L$2:$L$950,2025,Ventas!$M$2:$M$950,3)</f>
        <v>79489.08</v>
      </c>
    </row>
    <row r="25" spans="1:3" ht="15" customHeight="1" x14ac:dyDescent="0.2">
      <c r="A25" s="9" t="s">
        <v>1011</v>
      </c>
      <c r="B25" s="7">
        <f>SUMIFS(Ventas!$K$2:$K$950,Ventas!$L$2:$L$950,2025,Ventas!$M$2:$M$950,4)</f>
        <v>71522.76999999999</v>
      </c>
    </row>
    <row r="26" spans="1:3" ht="15" customHeight="1" x14ac:dyDescent="0.2">
      <c r="A26" s="9" t="s">
        <v>1012</v>
      </c>
      <c r="B26" s="7">
        <f>SUMIFS(Ventas!$K$2:$K$950,Ventas!$L$2:$L$950,2026,Ventas!$M$2:$M$950,1)</f>
        <v>71102.699999999983</v>
      </c>
    </row>
    <row r="27" spans="1:3" ht="15" customHeight="1" x14ac:dyDescent="0.2">
      <c r="A27" s="9" t="s">
        <v>1013</v>
      </c>
      <c r="B27" s="7">
        <f>SUMIFS(Ventas!$K$2:$K$950,Ventas!$L$2:$L$950,2026,Ventas!$M$2:$M$950,2)</f>
        <v>47026.689999999944</v>
      </c>
    </row>
    <row r="28" spans="1:3" ht="15" customHeight="1" x14ac:dyDescent="0.2">
      <c r="A28" s="9" t="s">
        <v>1014</v>
      </c>
      <c r="B28" s="7">
        <f>SUMIFS(Ventas!$K$2:$K$950,Ventas!$L$2:$L$950,2026,Ventas!$M$2:$M$950,3)</f>
        <v>7434.57</v>
      </c>
    </row>
    <row r="30" spans="1:3" ht="15" customHeight="1" x14ac:dyDescent="0.2">
      <c r="A30" s="5" t="s">
        <v>1015</v>
      </c>
    </row>
    <row r="31" spans="1:3" ht="15" customHeight="1" x14ac:dyDescent="0.2">
      <c r="A31" s="6" t="s">
        <v>1016</v>
      </c>
      <c r="B31" s="6" t="s">
        <v>1000</v>
      </c>
      <c r="C31" s="6" t="s">
        <v>1017</v>
      </c>
    </row>
    <row r="32" spans="1:3" ht="15" customHeight="1" x14ac:dyDescent="0.2">
      <c r="A32" s="9" t="s">
        <v>31</v>
      </c>
      <c r="B32" s="7">
        <f>SUMIFS(Ventas!$K$2:$K$950,Ventas!$C$2:$C$950,"AOCHUAN Smart XE STABILIZER")</f>
        <v>247015.94000000056</v>
      </c>
      <c r="C32" s="8">
        <f t="shared" ref="C32:C63" si="0">B32/$B$4</f>
        <v>0.40806381177545104</v>
      </c>
    </row>
    <row r="33" spans="1:3" ht="15" customHeight="1" x14ac:dyDescent="0.2">
      <c r="A33" s="9" t="s">
        <v>67</v>
      </c>
      <c r="B33" s="7">
        <f>SUMIFS(Ventas!$K$2:$K$950,Ventas!$C$2:$C$950,"AOCHUAN Smart XE STABILIZER WITH LIGHT")</f>
        <v>95768.92</v>
      </c>
      <c r="C33" s="8">
        <f t="shared" si="0"/>
        <v>0.15820772758558876</v>
      </c>
    </row>
    <row r="34" spans="1:3" ht="15" customHeight="1" x14ac:dyDescent="0.2">
      <c r="A34" s="9" t="s">
        <v>76</v>
      </c>
      <c r="B34" s="7">
        <f>SUMIFS(Ventas!$K$2:$K$950,Ventas!$C$2:$C$950,"AOCHUAN X PRO STABILIZER (GRAY)")</f>
        <v>62622.210000000014</v>
      </c>
      <c r="C34" s="8">
        <f t="shared" si="0"/>
        <v>0.10345023772313122</v>
      </c>
    </row>
    <row r="35" spans="1:3" ht="15" customHeight="1" x14ac:dyDescent="0.2">
      <c r="A35" s="9" t="s">
        <v>115</v>
      </c>
      <c r="B35" s="7">
        <f>SUMIFS(Ventas!$K$2:$K$950,Ventas!$C$2:$C$950,"AOCHUAN X PRO STABILIZER (BLACK)")</f>
        <v>50756.979999999996</v>
      </c>
      <c r="C35" s="8">
        <f t="shared" si="0"/>
        <v>8.3849190999618434E-2</v>
      </c>
    </row>
    <row r="36" spans="1:3" ht="15" customHeight="1" x14ac:dyDescent="0.2">
      <c r="A36" s="9" t="s">
        <v>90</v>
      </c>
      <c r="B36" s="7">
        <f>SUMIFS(Ventas!$K$2:$K$950,Ventas!$C$2:$C$950,"AOCHUAN FILL LIGHT")</f>
        <v>20298.489999999994</v>
      </c>
      <c r="C36" s="8">
        <f t="shared" si="0"/>
        <v>3.3532569609418139E-2</v>
      </c>
    </row>
    <row r="37" spans="1:3" ht="15" customHeight="1" x14ac:dyDescent="0.2">
      <c r="A37" s="9" t="s">
        <v>515</v>
      </c>
      <c r="B37" s="7">
        <f>SUMIFS(Ventas!$K$2:$K$950,Ventas!$C$2:$C$950,"BLACK FRONT SNORKEL")</f>
        <v>10380.839999999998</v>
      </c>
      <c r="C37" s="8">
        <f t="shared" si="0"/>
        <v>1.714887363071008E-2</v>
      </c>
    </row>
    <row r="38" spans="1:3" ht="15" customHeight="1" x14ac:dyDescent="0.2">
      <c r="A38" s="9" t="s">
        <v>74</v>
      </c>
      <c r="B38" s="7">
        <f>SUMIFS(Ventas!$K$2:$K$950,Ventas!$C$2:$C$950,"S5B STABILIZER")</f>
        <v>9903.82</v>
      </c>
      <c r="C38" s="8">
        <f t="shared" si="0"/>
        <v>1.6360849183813555E-2</v>
      </c>
    </row>
    <row r="39" spans="1:3" ht="15" customHeight="1" x14ac:dyDescent="0.2">
      <c r="A39" s="9" t="s">
        <v>541</v>
      </c>
      <c r="B39" s="7">
        <f>SUMIFS(Ventas!$K$2:$K$950,Ventas!$C$2:$C$950,"BLUE FRONT SNORKEL")</f>
        <v>9598.3099999999959</v>
      </c>
      <c r="C39" s="8">
        <f t="shared" si="0"/>
        <v>1.5856154729133751E-2</v>
      </c>
    </row>
    <row r="40" spans="1:3" ht="15" customHeight="1" x14ac:dyDescent="0.2">
      <c r="A40" s="9" t="s">
        <v>131</v>
      </c>
      <c r="B40" s="7">
        <f>SUMIFS(Ventas!$K$2:$K$950,Ventas!$C$2:$C$950,"L7Cpro Plus + AI STABILIZER")</f>
        <v>8879.73</v>
      </c>
      <c r="C40" s="8">
        <f t="shared" si="0"/>
        <v>1.4669079539307534E-2</v>
      </c>
    </row>
    <row r="41" spans="1:3" ht="15" customHeight="1" x14ac:dyDescent="0.2">
      <c r="A41" s="9" t="s">
        <v>726</v>
      </c>
      <c r="B41" s="7">
        <f>SUMIFS(Ventas!$K$2:$K$950,Ventas!$C$2:$C$950,"AQUA GREEN FRONT SNORKEL")</f>
        <v>7719.2900000000045</v>
      </c>
      <c r="C41" s="8">
        <f t="shared" si="0"/>
        <v>1.2752063294377345E-2</v>
      </c>
    </row>
    <row r="42" spans="1:3" ht="15" customHeight="1" x14ac:dyDescent="0.2">
      <c r="A42" s="9" t="s">
        <v>162</v>
      </c>
      <c r="B42" s="7">
        <f>SUMIFS(Ventas!$K$2:$K$950,Ventas!$C$2:$C$950,"S5B PRO STABILIZER")</f>
        <v>6842.07</v>
      </c>
      <c r="C42" s="8">
        <f>B42/$B$4</f>
        <v>1.1302919012572443E-2</v>
      </c>
    </row>
    <row r="43" spans="1:3" ht="15" customHeight="1" x14ac:dyDescent="0.2">
      <c r="A43" s="9" t="s">
        <v>458</v>
      </c>
      <c r="B43" s="7">
        <f>SUMIFS(Ventas!$K$2:$K$950,Ventas!$C$2:$C$950,"AOCHUAN X PRO STABILIZER (GRAY) WITH LIGHT")</f>
        <v>6762.8600000000006</v>
      </c>
      <c r="C43" s="8">
        <f t="shared" si="0"/>
        <v>1.1172066183679162E-2</v>
      </c>
    </row>
    <row r="44" spans="1:3" ht="15" customHeight="1" x14ac:dyDescent="0.2">
      <c r="A44" s="9" t="s">
        <v>23</v>
      </c>
      <c r="B44" s="7">
        <f>SUMIFS(Ventas!$K$2:$K$950,Ventas!$C$2:$C$950,"HQ3 STABILIZER")</f>
        <v>6159.09</v>
      </c>
      <c r="C44" s="8">
        <f t="shared" si="0"/>
        <v>1.0174654082922978E-2</v>
      </c>
    </row>
    <row r="45" spans="1:3" ht="15" customHeight="1" x14ac:dyDescent="0.2">
      <c r="A45" s="9" t="s">
        <v>711</v>
      </c>
      <c r="B45" s="7">
        <f>SUMIFS(Ventas!$K$2:$K$950,Ventas!$C$2:$C$950,"PINK FRONT SNORKEL")</f>
        <v>4325.6800000000012</v>
      </c>
      <c r="C45" s="8">
        <f t="shared" si="0"/>
        <v>7.1459091640840248E-3</v>
      </c>
    </row>
    <row r="46" spans="1:3" ht="15" customHeight="1" x14ac:dyDescent="0.2">
      <c r="A46" s="9" t="s">
        <v>313</v>
      </c>
      <c r="B46" s="7">
        <f>SUMIFS(Ventas!$K$2:$K$950,Ventas!$C$2:$C$950,"S5B Pro + AI STABILIZER")</f>
        <v>4076.69</v>
      </c>
      <c r="C46" s="8">
        <f t="shared" si="0"/>
        <v>6.7345842573028275E-3</v>
      </c>
    </row>
    <row r="47" spans="1:3" ht="15" customHeight="1" x14ac:dyDescent="0.2">
      <c r="A47" s="9" t="s">
        <v>52</v>
      </c>
      <c r="B47" s="7">
        <f>SUMIFS(Ventas!$K$2:$K$950,Ventas!$C$2:$C$950,"3D PUZZLE / SHIP MODEL")</f>
        <v>3893.5400000000009</v>
      </c>
      <c r="C47" s="8">
        <f t="shared" si="0"/>
        <v>6.4320252923766238E-3</v>
      </c>
    </row>
    <row r="48" spans="1:3" ht="15" customHeight="1" x14ac:dyDescent="0.2">
      <c r="A48" s="9" t="s">
        <v>848</v>
      </c>
      <c r="B48" s="7">
        <f>SUMIFS(Ventas!$K$2:$K$950,Ventas!$C$2:$C$950,"YELLOW FRONT SNORKEL")</f>
        <v>3579.2699999999995</v>
      </c>
      <c r="C48" s="8">
        <f t="shared" si="0"/>
        <v>5.9128595489566999E-3</v>
      </c>
    </row>
    <row r="49" spans="1:3" ht="15" customHeight="1" x14ac:dyDescent="0.2">
      <c r="A49" s="9" t="s">
        <v>473</v>
      </c>
      <c r="B49" s="7">
        <f>SUMIFS(Ventas!$K$2:$K$950,Ventas!$C$2:$C$950,"L7Cpro STABILIZER")</f>
        <v>3255.63</v>
      </c>
      <c r="C49" s="8">
        <f t="shared" si="0"/>
        <v>5.3782148129003686E-3</v>
      </c>
    </row>
    <row r="50" spans="1:3" ht="15" customHeight="1" x14ac:dyDescent="0.2">
      <c r="A50" s="9" t="s">
        <v>770</v>
      </c>
      <c r="B50" s="7">
        <f>SUMIFS(Ventas!$K$2:$K$950,Ventas!$C$2:$C$950,"WHITE FRONT SNORKEL")</f>
        <v>2845.1499999999996</v>
      </c>
      <c r="C50" s="8">
        <f t="shared" si="0"/>
        <v>4.7001126893791625E-3</v>
      </c>
    </row>
    <row r="51" spans="1:3" ht="15" customHeight="1" x14ac:dyDescent="0.2">
      <c r="A51" s="9" t="s">
        <v>165</v>
      </c>
      <c r="B51" s="7">
        <f>SUMIFS(Ventas!$K$2:$K$950,Ventas!$C$2:$C$950,"BLACK MINI CASE FOR GIMBAL STABILIZER")</f>
        <v>2531.41</v>
      </c>
      <c r="C51" s="8">
        <f t="shared" si="0"/>
        <v>4.181822491967491E-3</v>
      </c>
    </row>
    <row r="52" spans="1:3" ht="15" customHeight="1" x14ac:dyDescent="0.2">
      <c r="A52" s="9" t="s">
        <v>99</v>
      </c>
      <c r="B52" s="7">
        <f>SUMIFS(Ventas!$K$2:$K$950,Ventas!$C$2:$C$950,"20/PIECE STAINLESS STEEL MANICURE &amp; PEDICURE KIT")</f>
        <v>2300</v>
      </c>
      <c r="C52" s="8">
        <f t="shared" si="0"/>
        <v>3.7995392810825702E-3</v>
      </c>
    </row>
    <row r="53" spans="1:3" ht="15" customHeight="1" x14ac:dyDescent="0.2">
      <c r="A53" s="9" t="s">
        <v>92</v>
      </c>
      <c r="B53" s="7">
        <f>SUMIFS(Ventas!$K$2:$K$950,Ventas!$C$2:$C$950,"3D PUZZLE / CAR MODEL")</f>
        <v>2206.2199999999998</v>
      </c>
      <c r="C53" s="8">
        <f t="shared" si="0"/>
        <v>3.6446171968304293E-3</v>
      </c>
    </row>
    <row r="54" spans="1:3" ht="15" customHeight="1" x14ac:dyDescent="0.2">
      <c r="A54" s="9" t="s">
        <v>187</v>
      </c>
      <c r="B54" s="7">
        <f>SUMIFS(Ventas!$K$2:$K$950,Ventas!$C$2:$C$950,"RED SCALE BICYCLE")</f>
        <v>1985.4599999999998</v>
      </c>
      <c r="C54" s="8">
        <f t="shared" si="0"/>
        <v>3.2799275047905216E-3</v>
      </c>
    </row>
    <row r="55" spans="1:3" ht="15" customHeight="1" x14ac:dyDescent="0.2">
      <c r="A55" s="9" t="s">
        <v>975</v>
      </c>
      <c r="B55" s="7">
        <f>SUMIFS(Ventas!$K$2:$K$950,Ventas!$C$2:$C$950,"FINS")</f>
        <v>1930.0700000000002</v>
      </c>
      <c r="C55" s="8">
        <f t="shared" si="0"/>
        <v>3.1884246870604511E-3</v>
      </c>
    </row>
    <row r="56" spans="1:3" ht="15" customHeight="1" x14ac:dyDescent="0.2">
      <c r="A56" s="9" t="s">
        <v>562</v>
      </c>
      <c r="B56" s="7">
        <f>SUMIFS(Ventas!$K$2:$K$950,Ventas!$C$2:$C$950,"FG146 75CM")</f>
        <v>1918.71</v>
      </c>
      <c r="C56" s="8">
        <f t="shared" si="0"/>
        <v>3.1696582669591038E-3</v>
      </c>
    </row>
    <row r="57" spans="1:3" ht="15" customHeight="1" x14ac:dyDescent="0.2">
      <c r="A57" s="9" t="s">
        <v>366</v>
      </c>
      <c r="B57" s="7">
        <f>SUMIFS(Ventas!$K$2:$K$950,Ventas!$C$2:$C$950,"FG167 120CM")</f>
        <v>1733.51</v>
      </c>
      <c r="C57" s="8">
        <f t="shared" si="0"/>
        <v>2.8637127561519332E-3</v>
      </c>
    </row>
    <row r="58" spans="1:3" ht="15" customHeight="1" x14ac:dyDescent="0.2">
      <c r="A58" s="9" t="s">
        <v>333</v>
      </c>
      <c r="B58" s="7">
        <f>SUMIFS(Ventas!$K$2:$K$950,Ventas!$C$2:$C$950,"GRAY MINI CASE FOR GIMBAL STABILIZER")</f>
        <v>1571.31</v>
      </c>
      <c r="C58" s="8">
        <f t="shared" si="0"/>
        <v>2.5957626381555884E-3</v>
      </c>
    </row>
    <row r="59" spans="1:3" ht="15" customHeight="1" x14ac:dyDescent="0.2">
      <c r="A59" s="9" t="s">
        <v>234</v>
      </c>
      <c r="B59" s="7">
        <f>SUMIFS(Ventas!$K$2:$K$950,Ventas!$C$2:$C$950,"L9 STABILIZER")</f>
        <v>1500</v>
      </c>
      <c r="C59" s="8">
        <f t="shared" si="0"/>
        <v>2.4779604007060239E-3</v>
      </c>
    </row>
    <row r="60" spans="1:3" ht="15" customHeight="1" x14ac:dyDescent="0.2">
      <c r="A60" s="9" t="s">
        <v>133</v>
      </c>
      <c r="B60" s="7">
        <f>SUMIFS(Ventas!$K$2:$K$950,Ventas!$C$2:$C$950,"HQ6 STABILIZER")</f>
        <v>1445.22</v>
      </c>
      <c r="C60" s="8">
        <f t="shared" si="0"/>
        <v>2.38746528687224E-3</v>
      </c>
    </row>
    <row r="61" spans="1:3" ht="15" customHeight="1" x14ac:dyDescent="0.2">
      <c r="A61" s="9" t="s">
        <v>289</v>
      </c>
      <c r="B61" s="7">
        <f>SUMIFS(Ventas!$K$2:$K$950,Ventas!$C$2:$C$950,"FG146 90CM")</f>
        <v>1370.62</v>
      </c>
      <c r="C61" s="8">
        <f t="shared" si="0"/>
        <v>2.2642280562771271E-3</v>
      </c>
    </row>
    <row r="62" spans="1:3" ht="15" customHeight="1" x14ac:dyDescent="0.2">
      <c r="A62" s="9" t="s">
        <v>123</v>
      </c>
      <c r="B62" s="7">
        <f>SUMIFS(Ventas!$K$2:$K$950,Ventas!$C$2:$C$950,"3D PUZZLE / AIRPLANE MODEL")</f>
        <v>1336.76</v>
      </c>
      <c r="C62" s="8">
        <f t="shared" si="0"/>
        <v>2.20829223016519E-3</v>
      </c>
    </row>
    <row r="63" spans="1:3" ht="15" customHeight="1" x14ac:dyDescent="0.2">
      <c r="A63" s="9" t="s">
        <v>48</v>
      </c>
      <c r="B63" s="7">
        <f>SUMIFS(Ventas!$K$2:$K$950,Ventas!$C$2:$C$950,"FG146 60CM")</f>
        <v>1308.1999999999998</v>
      </c>
      <c r="C63" s="8">
        <f t="shared" si="0"/>
        <v>2.1611118641357467E-3</v>
      </c>
    </row>
    <row r="64" spans="1:3" ht="15" customHeight="1" x14ac:dyDescent="0.2">
      <c r="A64" s="9" t="s">
        <v>44</v>
      </c>
      <c r="B64" s="7">
        <f>SUMIFS(Ventas!$K$2:$K$950,Ventas!$C$2:$C$950,"18/PIECE STAINLESS STEEL MANICURE &amp; PEDICURE KIT")</f>
        <v>1260</v>
      </c>
      <c r="C64" s="8">
        <f t="shared" ref="C64:C95" si="1">B64/$B$4</f>
        <v>2.0814867365930604E-3</v>
      </c>
    </row>
    <row r="65" spans="1:3" ht="15" customHeight="1" x14ac:dyDescent="0.2">
      <c r="A65" s="9" t="s">
        <v>307</v>
      </c>
      <c r="B65" s="7">
        <f>SUMIFS(Ventas!$K$2:$K$950,Ventas!$C$2:$C$950,"BLUE SCALE BICYCLE")</f>
        <v>1116.17</v>
      </c>
      <c r="C65" s="8">
        <f t="shared" si="1"/>
        <v>1.8438833736373621E-3</v>
      </c>
    </row>
    <row r="66" spans="1:3" ht="15" customHeight="1" x14ac:dyDescent="0.2">
      <c r="A66" s="9" t="s">
        <v>580</v>
      </c>
      <c r="B66" s="7">
        <f>SUMIFS(Ventas!$K$2:$K$950,Ventas!$C$2:$C$950,"FG167 30CM")</f>
        <v>940.04</v>
      </c>
      <c r="C66" s="8">
        <f t="shared" si="1"/>
        <v>1.5529212633864605E-3</v>
      </c>
    </row>
    <row r="67" spans="1:3" ht="15" customHeight="1" x14ac:dyDescent="0.2">
      <c r="A67" s="9" t="s">
        <v>446</v>
      </c>
      <c r="B67" s="7">
        <f>SUMIFS(Ventas!$K$2:$K$950,Ventas!$C$2:$C$950,"FG146 120CM")</f>
        <v>936.94</v>
      </c>
      <c r="C67" s="8">
        <f t="shared" si="1"/>
        <v>1.5478001452250015E-3</v>
      </c>
    </row>
    <row r="68" spans="1:3" ht="15" customHeight="1" x14ac:dyDescent="0.2">
      <c r="A68" s="9" t="s">
        <v>253</v>
      </c>
      <c r="B68" s="7">
        <f>SUMIFS(Ventas!$K$2:$K$950,Ventas!$C$2:$C$950,"FLUORESCENT YELLOW &amp; BLACK SCALE BICYCLE")</f>
        <v>849.76</v>
      </c>
      <c r="C68" s="8">
        <f t="shared" si="1"/>
        <v>1.4037810867359674E-3</v>
      </c>
    </row>
    <row r="69" spans="1:3" ht="15" customHeight="1" x14ac:dyDescent="0.2">
      <c r="A69" s="9" t="s">
        <v>95</v>
      </c>
      <c r="B69" s="7">
        <f>SUMIFS(Ventas!$K$2:$K$950,Ventas!$C$2:$C$950,"MINI BAG FOR AOCHUAN STABILIZER")</f>
        <v>843.19999999999993</v>
      </c>
      <c r="C69" s="8">
        <f t="shared" si="1"/>
        <v>1.3929441399168796E-3</v>
      </c>
    </row>
    <row r="70" spans="1:3" ht="15" customHeight="1" x14ac:dyDescent="0.2">
      <c r="A70" s="9" t="s">
        <v>160</v>
      </c>
      <c r="B70" s="7">
        <f>SUMIFS(Ventas!$K$2:$K$950,Ventas!$C$2:$C$950,"DIGITAL BLOOD PRESSURE MONITOR")</f>
        <v>800</v>
      </c>
      <c r="C70" s="8">
        <f t="shared" si="1"/>
        <v>1.3215788803765461E-3</v>
      </c>
    </row>
    <row r="71" spans="1:3" ht="15" customHeight="1" x14ac:dyDescent="0.2">
      <c r="A71" s="9" t="s">
        <v>550</v>
      </c>
      <c r="B71" s="7">
        <f>SUMIFS(Ventas!$K$2:$K$950,Ventas!$C$2:$C$950,"FG138 75CM")</f>
        <v>777.35</v>
      </c>
      <c r="C71" s="8">
        <f t="shared" si="1"/>
        <v>1.2841616783258853E-3</v>
      </c>
    </row>
    <row r="72" spans="1:3" ht="15" customHeight="1" x14ac:dyDescent="0.2">
      <c r="A72" s="9" t="s">
        <v>567</v>
      </c>
      <c r="B72" s="7">
        <f>SUMIFS(Ventas!$K$2:$K$950,Ventas!$C$2:$C$950,"FG167 45CM")</f>
        <v>775.03</v>
      </c>
      <c r="C72" s="8">
        <f t="shared" si="1"/>
        <v>1.2803290995727931E-3</v>
      </c>
    </row>
    <row r="73" spans="1:3" ht="15" customHeight="1" x14ac:dyDescent="0.2">
      <c r="A73" s="9" t="s">
        <v>688</v>
      </c>
      <c r="B73" s="7">
        <f>SUMIFS(Ventas!$K$2:$K$950,Ventas!$C$2:$C$950,"FG146 45CM")</f>
        <v>656.74</v>
      </c>
      <c r="C73" s="8">
        <f t="shared" si="1"/>
        <v>1.0849171423731162E-3</v>
      </c>
    </row>
    <row r="74" spans="1:3" ht="15" customHeight="1" x14ac:dyDescent="0.2">
      <c r="A74" s="9" t="s">
        <v>79</v>
      </c>
      <c r="B74" s="7">
        <f>SUMIFS(Ventas!$K$2:$K$950,Ventas!$C$2:$C$950,"YELLOW SCALE BICYCLE")</f>
        <v>635.95999999999992</v>
      </c>
      <c r="C74" s="8">
        <f t="shared" si="1"/>
        <v>1.0505891309553353E-3</v>
      </c>
    </row>
    <row r="75" spans="1:3" ht="15" customHeight="1" x14ac:dyDescent="0.2">
      <c r="A75" s="9" t="s">
        <v>37</v>
      </c>
      <c r="B75" s="7">
        <f>SUMIFS(Ventas!$K$2:$K$950,Ventas!$C$2:$C$950,"RORETA 3C STABILIZER")</f>
        <v>600</v>
      </c>
      <c r="C75" s="8">
        <f t="shared" si="1"/>
        <v>9.9118416028240973E-4</v>
      </c>
    </row>
    <row r="76" spans="1:3" ht="15" customHeight="1" x14ac:dyDescent="0.2">
      <c r="A76" s="9" t="s">
        <v>62</v>
      </c>
      <c r="B76" s="7">
        <f>SUMIFS(Ventas!$K$2:$K$950,Ventas!$C$2:$C$950,"F8 STABILIZER")</f>
        <v>600</v>
      </c>
      <c r="C76" s="8">
        <f t="shared" si="1"/>
        <v>9.9118416028240973E-4</v>
      </c>
    </row>
    <row r="77" spans="1:3" ht="15" customHeight="1" x14ac:dyDescent="0.2">
      <c r="A77" s="9" t="s">
        <v>290</v>
      </c>
      <c r="B77" s="7">
        <f>SUMIFS(Ventas!$K$2:$K$950,Ventas!$C$2:$C$950,"FG167 60CM")</f>
        <v>600</v>
      </c>
      <c r="C77" s="8">
        <f t="shared" si="1"/>
        <v>9.9118416028240973E-4</v>
      </c>
    </row>
    <row r="78" spans="1:3" ht="15" customHeight="1" x14ac:dyDescent="0.2">
      <c r="A78" s="9" t="s">
        <v>60</v>
      </c>
      <c r="B78" s="7">
        <f>SUMIFS(Ventas!$K$2:$K$950,Ventas!$C$2:$C$950,"F10 STABILIZER")</f>
        <v>600</v>
      </c>
      <c r="C78" s="8">
        <f t="shared" si="1"/>
        <v>9.9118416028240973E-4</v>
      </c>
    </row>
    <row r="79" spans="1:3" ht="15" customHeight="1" x14ac:dyDescent="0.2">
      <c r="A79" s="9" t="s">
        <v>113</v>
      </c>
      <c r="B79" s="7">
        <f>SUMIFS(Ventas!$K$2:$K$950,Ventas!$C$2:$C$950,"3D PUZZLE / TRAIN MODEL")</f>
        <v>585.88</v>
      </c>
      <c r="C79" s="8">
        <f t="shared" si="1"/>
        <v>9.6785829304376356E-4</v>
      </c>
    </row>
    <row r="80" spans="1:3" ht="15" customHeight="1" x14ac:dyDescent="0.2">
      <c r="A80" s="9" t="s">
        <v>185</v>
      </c>
      <c r="B80" s="7">
        <f>SUMIFS(Ventas!$K$2:$K$950,Ventas!$C$2:$C$950,"BLUE GIMBAL STABILIZER CASE")</f>
        <v>498.53999999999996</v>
      </c>
      <c r="C80" s="8">
        <f t="shared" si="1"/>
        <v>8.2357491877865416E-4</v>
      </c>
    </row>
    <row r="81" spans="1:3" ht="15" customHeight="1" x14ac:dyDescent="0.2">
      <c r="A81" s="9" t="s">
        <v>391</v>
      </c>
      <c r="B81" s="7">
        <f>SUMIFS(Ventas!$K$2:$K$950,Ventas!$C$2:$C$950,"BLACK SCALE BICYCLE")</f>
        <v>486.64</v>
      </c>
      <c r="C81" s="8">
        <f t="shared" si="1"/>
        <v>8.0391643293305302E-4</v>
      </c>
    </row>
    <row r="82" spans="1:3" ht="15" customHeight="1" x14ac:dyDescent="0.2">
      <c r="A82" s="9" t="s">
        <v>869</v>
      </c>
      <c r="B82" s="7">
        <f>SUMIFS(Ventas!$K$2:$K$950,Ventas!$C$2:$C$950,"A10 STABILIZER (BLACK)")</f>
        <v>439.37</v>
      </c>
      <c r="C82" s="8">
        <f t="shared" si="1"/>
        <v>7.2582764083880386E-4</v>
      </c>
    </row>
    <row r="83" spans="1:3" ht="15" customHeight="1" x14ac:dyDescent="0.2">
      <c r="A83" s="9" t="s">
        <v>426</v>
      </c>
      <c r="B83" s="7">
        <f>SUMIFS(Ventas!$K$2:$K$950,Ventas!$C$2:$C$950,"ORANGE SCALE BICYCLE")</f>
        <v>321.76</v>
      </c>
      <c r="C83" s="8">
        <f t="shared" si="1"/>
        <v>5.3153902568744689E-4</v>
      </c>
    </row>
    <row r="84" spans="1:3" ht="15" customHeight="1" x14ac:dyDescent="0.2">
      <c r="A84" s="9" t="s">
        <v>704</v>
      </c>
      <c r="B84" s="7">
        <f>SUMIFS(Ventas!$K$2:$K$950,Ventas!$C$2:$C$950,"FG146 30CM")</f>
        <v>319</v>
      </c>
      <c r="C84" s="8">
        <f t="shared" si="1"/>
        <v>5.269795785501478E-4</v>
      </c>
    </row>
    <row r="85" spans="1:3" ht="15" customHeight="1" x14ac:dyDescent="0.2">
      <c r="A85" s="9" t="s">
        <v>291</v>
      </c>
      <c r="B85" s="7">
        <f>SUMIFS(Ventas!$K$2:$K$950,Ventas!$C$2:$C$950,"FG138 90CM")</f>
        <v>300</v>
      </c>
      <c r="C85" s="8">
        <f t="shared" si="1"/>
        <v>4.9559208014120486E-4</v>
      </c>
    </row>
    <row r="86" spans="1:3" ht="15" customHeight="1" x14ac:dyDescent="0.2">
      <c r="A86" s="9" t="s">
        <v>69</v>
      </c>
      <c r="B86" s="7">
        <f>SUMIFS(Ventas!$K$2:$K$950,Ventas!$C$2:$C$950,"MINI KAWAII LAMP")</f>
        <v>300</v>
      </c>
      <c r="C86" s="8">
        <f t="shared" si="1"/>
        <v>4.9559208014120486E-4</v>
      </c>
    </row>
    <row r="87" spans="1:3" ht="15" customHeight="1" x14ac:dyDescent="0.2">
      <c r="A87" s="9" t="s">
        <v>68</v>
      </c>
      <c r="B87" s="7">
        <f>SUMIFS(Ventas!$K$2:$K$950,Ventas!$C$2:$C$950,"SCALE MOTORCYCLE 1 (WHITE &amp; RED)")</f>
        <v>300</v>
      </c>
      <c r="C87" s="8">
        <f t="shared" si="1"/>
        <v>4.9559208014120486E-4</v>
      </c>
    </row>
    <row r="88" spans="1:3" ht="15" customHeight="1" x14ac:dyDescent="0.2">
      <c r="A88" s="9" t="s">
        <v>238</v>
      </c>
      <c r="B88" s="7">
        <f>SUMIFS(Ventas!$K$2:$K$950,Ventas!$C$2:$C$950,"GREEN CASSETTE ""GOOD VIBES"" PIN")</f>
        <v>255.82</v>
      </c>
      <c r="C88" s="8">
        <f t="shared" si="1"/>
        <v>4.2260788647241005E-4</v>
      </c>
    </row>
    <row r="89" spans="1:3" ht="15" customHeight="1" x14ac:dyDescent="0.2">
      <c r="A89" s="9" t="s">
        <v>598</v>
      </c>
      <c r="B89" s="7">
        <f>SUMIFS(Ventas!$K$2:$K$950,Ventas!$C$2:$C$950,"FG147 CLIP ON 30CM")</f>
        <v>252.67</v>
      </c>
      <c r="C89" s="8">
        <f t="shared" si="1"/>
        <v>4.1740416963092738E-4</v>
      </c>
    </row>
    <row r="90" spans="1:3" ht="15" customHeight="1" x14ac:dyDescent="0.2">
      <c r="A90" s="9" t="s">
        <v>46</v>
      </c>
      <c r="B90" s="7">
        <f>SUMIFS(Ventas!$K$2:$K$950,Ventas!$C$2:$C$950,"12/PIECE STAINLESS STEEL MANICURE &amp; PEDICURE KIT")</f>
        <v>180</v>
      </c>
      <c r="C90" s="8">
        <f t="shared" si="1"/>
        <v>2.9735524808472292E-4</v>
      </c>
    </row>
    <row r="91" spans="1:3" ht="15" customHeight="1" x14ac:dyDescent="0.2">
      <c r="A91" s="9" t="s">
        <v>153</v>
      </c>
      <c r="B91" s="7">
        <f>SUMIFS(Ventas!$K$2:$K$950,Ventas!$C$2:$C$950,"CATSA PIN")</f>
        <v>164</v>
      </c>
      <c r="C91" s="8">
        <f t="shared" si="1"/>
        <v>2.7092367047719195E-4</v>
      </c>
    </row>
    <row r="92" spans="1:3" ht="15" customHeight="1" x14ac:dyDescent="0.2">
      <c r="A92" s="9" t="s">
        <v>26</v>
      </c>
      <c r="B92" s="7">
        <f>SUMIFS(Ventas!$K$2:$K$950,Ventas!$C$2:$C$950,"RED GUITAR PIN")</f>
        <v>148.74</v>
      </c>
      <c r="C92" s="8">
        <f t="shared" si="1"/>
        <v>2.4571455333400938E-4</v>
      </c>
    </row>
    <row r="93" spans="1:3" ht="15" customHeight="1" x14ac:dyDescent="0.2">
      <c r="A93" s="9" t="s">
        <v>55</v>
      </c>
      <c r="B93" s="7">
        <f>SUMIFS(Ventas!$K$2:$K$950,Ventas!$C$2:$C$950,"SCALE MOTORCYCLE 2 (BLACK &amp; YELLOW)")</f>
        <v>148</v>
      </c>
      <c r="C93" s="8">
        <f t="shared" si="1"/>
        <v>2.4449209286966103E-4</v>
      </c>
    </row>
    <row r="94" spans="1:3" ht="15" customHeight="1" x14ac:dyDescent="0.2">
      <c r="A94" s="9" t="s">
        <v>873</v>
      </c>
      <c r="B94" s="7">
        <f>SUMIFS(Ventas!$K$2:$K$950,Ventas!$C$2:$C$950,"SCALE MOTORCYCLE 5 (BLACK)")</f>
        <v>146.03</v>
      </c>
      <c r="C94" s="8">
        <f t="shared" si="1"/>
        <v>2.412377048767338E-4</v>
      </c>
    </row>
    <row r="95" spans="1:3" ht="15" customHeight="1" x14ac:dyDescent="0.2">
      <c r="A95" s="9" t="s">
        <v>72</v>
      </c>
      <c r="B95" s="7">
        <f>SUMIFS(Ventas!$K$2:$K$950,Ventas!$C$2:$C$950,"DISC ON TURNTABLE PIN")</f>
        <v>112.48</v>
      </c>
      <c r="C95" s="8">
        <f t="shared" si="1"/>
        <v>1.8581399058094239E-4</v>
      </c>
    </row>
    <row r="96" spans="1:3" ht="15" customHeight="1" x14ac:dyDescent="0.2">
      <c r="A96" s="9" t="s">
        <v>71</v>
      </c>
      <c r="B96" s="7">
        <f>SUMIFS(Ventas!$K$2:$K$950,Ventas!$C$2:$C$950,"MELTED DISC PIN (DISC 1)")</f>
        <v>112.48</v>
      </c>
      <c r="C96" s="8">
        <f t="shared" ref="C96:C127" si="2">B96/$B$4</f>
        <v>1.8581399058094239E-4</v>
      </c>
    </row>
    <row r="97" spans="1:3" ht="15" customHeight="1" x14ac:dyDescent="0.2">
      <c r="A97" s="9" t="s">
        <v>64</v>
      </c>
      <c r="B97" s="7">
        <f>SUMIFS(Ventas!$K$2:$K$950,Ventas!$C$2:$C$950,"WINE &amp; GLASS PIN")</f>
        <v>78.38</v>
      </c>
      <c r="C97" s="8">
        <f t="shared" si="2"/>
        <v>1.2948169080489211E-4</v>
      </c>
    </row>
    <row r="98" spans="1:3" ht="15" customHeight="1" x14ac:dyDescent="0.2">
      <c r="A98" s="9" t="s">
        <v>690</v>
      </c>
      <c r="B98" s="7">
        <f>SUMIFS(Ventas!$K$2:$K$950,Ventas!$C$2:$C$950,"HEART &amp; FLOWER PIN")</f>
        <v>73.650000000000006</v>
      </c>
      <c r="C98" s="8">
        <f t="shared" si="2"/>
        <v>1.2166785567466579E-4</v>
      </c>
    </row>
    <row r="99" spans="1:3" ht="15" customHeight="1" x14ac:dyDescent="0.2">
      <c r="A99" s="9" t="s">
        <v>108</v>
      </c>
      <c r="B99" s="7">
        <f>SUMIFS(Ventas!$K$2:$K$950,Ventas!$C$2:$C$950,"BLACK CASSETTE ""SAD SONG"" PIN")</f>
        <v>67</v>
      </c>
      <c r="C99" s="8">
        <f t="shared" si="2"/>
        <v>1.1068223123153574E-4</v>
      </c>
    </row>
    <row r="100" spans="1:3" ht="15" customHeight="1" x14ac:dyDescent="0.2">
      <c r="A100" s="9" t="s">
        <v>102</v>
      </c>
      <c r="B100" s="7">
        <f>SUMIFS(Ventas!$K$2:$K$950,Ventas!$C$2:$C$950,"""THAT'S WHAT SHE SAID"" PIN")</f>
        <v>51.01</v>
      </c>
      <c r="C100" s="8">
        <f t="shared" si="2"/>
        <v>8.4267173360009519E-5</v>
      </c>
    </row>
    <row r="101" spans="1:3" ht="15" customHeight="1" x14ac:dyDescent="0.2">
      <c r="A101" s="9" t="s">
        <v>20</v>
      </c>
      <c r="B101" s="7">
        <f>SUMIFS(Ventas!$K$2:$K$950,Ventas!$C$2:$C$950,"MARTIAN PIN")</f>
        <v>41.68</v>
      </c>
      <c r="C101" s="8">
        <f t="shared" si="2"/>
        <v>6.8854259667618057E-5</v>
      </c>
    </row>
    <row r="102" spans="1:3" ht="15" customHeight="1" x14ac:dyDescent="0.2">
      <c r="A102" s="9" t="s">
        <v>662</v>
      </c>
      <c r="B102" s="7">
        <f>SUMIFS(Ventas!$K$2:$K$950,Ventas!$C$2:$C$950,"PINK CASSETTE ""BEST 90'S"" PIN")</f>
        <v>39.729999999999997</v>
      </c>
      <c r="C102" s="8">
        <f t="shared" si="2"/>
        <v>6.5632911146700214E-5</v>
      </c>
    </row>
    <row r="103" spans="1:3" ht="15" customHeight="1" x14ac:dyDescent="0.2">
      <c r="A103" s="9" t="s">
        <v>351</v>
      </c>
      <c r="B103" s="7">
        <f>SUMIFS(Ventas!$K$2:$K$950,Ventas!$C$2:$C$950,"FEMINIST FIST PIN")</f>
        <v>36.729999999999997</v>
      </c>
      <c r="C103" s="8">
        <f t="shared" si="2"/>
        <v>6.0676990345288171E-5</v>
      </c>
    </row>
    <row r="104" spans="1:3" ht="15" customHeight="1" x14ac:dyDescent="0.2">
      <c r="A104" s="9" t="s">
        <v>285</v>
      </c>
      <c r="B104" s="7">
        <f>SUMIFS(Ventas!$K$2:$K$950,Ventas!$C$2:$C$950,"""I BELIEVE"" PIN")</f>
        <v>33.5</v>
      </c>
      <c r="C104" s="8">
        <f t="shared" si="2"/>
        <v>5.5341115615767872E-5</v>
      </c>
    </row>
    <row r="105" spans="1:3" ht="15" customHeight="1" x14ac:dyDescent="0.2">
      <c r="A105" s="9" t="s">
        <v>191</v>
      </c>
      <c r="B105" s="7">
        <f>SUMIFS(Ventas!$K$2:$K$950,Ventas!$C$2:$C$950,"""STRANGER THINGS"" TV PIN")</f>
        <v>30.27</v>
      </c>
      <c r="C105" s="8">
        <f t="shared" si="2"/>
        <v>5.0005240886247567E-5</v>
      </c>
    </row>
    <row r="106" spans="1:3" ht="15" customHeight="1" x14ac:dyDescent="0.2">
      <c r="A106" s="9" t="s">
        <v>110</v>
      </c>
      <c r="B106" s="7">
        <f>SUMIFS(Ventas!$K$2:$K$950,Ventas!$C$2:$C$950,"""MUSIC PLEASE"" PIN")</f>
        <v>0</v>
      </c>
      <c r="C106" s="8">
        <f t="shared" si="2"/>
        <v>0</v>
      </c>
    </row>
    <row r="107" spans="1:3" ht="15" customHeight="1" x14ac:dyDescent="0.2">
      <c r="A107" s="9" t="s">
        <v>154</v>
      </c>
      <c r="B107" s="7">
        <f>SUMIFS(Ventas!$K$2:$K$950,Ventas!$C$2:$C$950,"""STAY PAWSITIVE"" PIN")</f>
        <v>0</v>
      </c>
      <c r="C107" s="8">
        <f t="shared" si="2"/>
        <v>0</v>
      </c>
    </row>
    <row r="108" spans="1:3" ht="15" customHeight="1" x14ac:dyDescent="0.2">
      <c r="A108" s="9" t="s">
        <v>156</v>
      </c>
      <c r="B108" s="7">
        <f>SUMIFS(Ventas!$K$2:$K$950,Ventas!$C$2:$C$950,"""THE OFFICE"" AD LOGO PIN")</f>
        <v>0</v>
      </c>
      <c r="C108" s="8">
        <f t="shared" si="2"/>
        <v>0</v>
      </c>
    </row>
    <row r="109" spans="1:3" ht="15" customHeight="1" x14ac:dyDescent="0.2">
      <c r="A109" s="9" t="s">
        <v>241</v>
      </c>
      <c r="B109" s="7">
        <f>SUMIFS(Ventas!$K$2:$K$950,Ventas!$C$2:$C$950,"""LOVE"" HEART PIN")</f>
        <v>0</v>
      </c>
      <c r="C109" s="8">
        <f t="shared" si="2"/>
        <v>0</v>
      </c>
    </row>
    <row r="110" spans="1:3" ht="15" customHeight="1" x14ac:dyDescent="0.2">
      <c r="A110" s="9" t="s">
        <v>239</v>
      </c>
      <c r="B110" s="7">
        <f>SUMIFS(Ventas!$K$2:$K$950,Ventas!$C$2:$C$950,"CAMPING CAMPFIRE PIN")</f>
        <v>0</v>
      </c>
      <c r="C110" s="8">
        <f t="shared" si="2"/>
        <v>0</v>
      </c>
    </row>
    <row r="111" spans="1:3" ht="15" customHeight="1" x14ac:dyDescent="0.2">
      <c r="A111" s="9" t="s">
        <v>155</v>
      </c>
      <c r="B111" s="7">
        <f>SUMIFS(Ventas!$K$2:$K$950,Ventas!$C$2:$C$950,"DINOSAUR PIN")</f>
        <v>0</v>
      </c>
      <c r="C111" s="8">
        <f t="shared" si="2"/>
        <v>0</v>
      </c>
    </row>
    <row r="112" spans="1:3" ht="15" customHeight="1" x14ac:dyDescent="0.2">
      <c r="A112" s="9" t="s">
        <v>240</v>
      </c>
      <c r="B112" s="7">
        <f>SUMIFS(Ventas!$K$2:$K$950,Ventas!$C$2:$C$950,"CAMPING FINGERS &amp; MOUNTAIN PIN")</f>
        <v>0</v>
      </c>
      <c r="C112" s="8">
        <f t="shared" si="2"/>
        <v>0</v>
      </c>
    </row>
    <row r="113" spans="1:3" ht="15" customHeight="1" x14ac:dyDescent="0.2">
      <c r="A113" s="9" t="s">
        <v>86</v>
      </c>
      <c r="B113" s="7">
        <f>SUMIFS(Ventas!$K$2:$K$950,Ventas!$C$2:$C$950,"CAMPING CONVERSE SNEAKERS PIN")</f>
        <v>0</v>
      </c>
      <c r="C113" s="8">
        <f t="shared" si="2"/>
        <v>0</v>
      </c>
    </row>
    <row r="114" spans="1:3" ht="15" customHeight="1" x14ac:dyDescent="0.2">
      <c r="A114" s="9" t="s">
        <v>157</v>
      </c>
      <c r="B114" s="7">
        <f>SUMIFS(Ventas!$K$2:$K$950,Ventas!$C$2:$C$950,"HAND MAKING ""I"" SIGN PIN (MEDIUM FINGER)")</f>
        <v>0</v>
      </c>
      <c r="C114" s="8">
        <f t="shared" si="2"/>
        <v>0</v>
      </c>
    </row>
    <row r="115" spans="1:3" ht="15" customHeight="1" x14ac:dyDescent="0.2">
      <c r="A115" s="9" t="s">
        <v>242</v>
      </c>
      <c r="B115" s="7">
        <f>SUMIFS(Ventas!$K$2:$K$950,Ventas!$C$2:$C$950,"RED ""DUFF"" BEER PIN")</f>
        <v>0</v>
      </c>
      <c r="C115" s="8">
        <f t="shared" si="2"/>
        <v>0</v>
      </c>
    </row>
    <row r="117" spans="1:3" ht="15" customHeight="1" x14ac:dyDescent="0.2">
      <c r="A117" s="5" t="s">
        <v>1018</v>
      </c>
    </row>
    <row r="118" spans="1:3" ht="15" customHeight="1" x14ac:dyDescent="0.2">
      <c r="A118" s="6" t="s">
        <v>1019</v>
      </c>
      <c r="B118" s="6" t="s">
        <v>1000</v>
      </c>
      <c r="C118" s="6" t="s">
        <v>1017</v>
      </c>
    </row>
    <row r="119" spans="1:3" ht="15" customHeight="1" x14ac:dyDescent="0.2">
      <c r="A119" s="9" t="s">
        <v>38</v>
      </c>
      <c r="B119" s="7">
        <f>SUMIFS(Ventas!$K$2:$K$950,Ventas!$D$2:$D$950,"State of Mexico")</f>
        <v>90584.880000000048</v>
      </c>
      <c r="C119" s="8">
        <f t="shared" ref="C119:C150" si="3">B119/$B$4</f>
        <v>0.14964383036180481</v>
      </c>
    </row>
    <row r="120" spans="1:3" ht="15" customHeight="1" x14ac:dyDescent="0.2">
      <c r="A120" s="9" t="s">
        <v>93</v>
      </c>
      <c r="B120" s="7">
        <f>SUMIFS(Ventas!$K$2:$K$950,Ventas!$D$2:$D$950,"Mexico City")</f>
        <v>61315.189999999973</v>
      </c>
      <c r="C120" s="8">
        <f t="shared" si="3"/>
        <v>0.10129107518784396</v>
      </c>
    </row>
    <row r="121" spans="1:3" ht="15" customHeight="1" x14ac:dyDescent="0.2">
      <c r="A121" s="9" t="s">
        <v>49</v>
      </c>
      <c r="B121" s="7">
        <f>SUMIFS(Ventas!$K$2:$K$950,Ventas!$D$2:$D$950,"Jalisco")</f>
        <v>49471.64</v>
      </c>
      <c r="C121" s="8">
        <f t="shared" si="3"/>
        <v>8.172584325198945E-2</v>
      </c>
    </row>
    <row r="122" spans="1:3" ht="15" customHeight="1" x14ac:dyDescent="0.2">
      <c r="A122" s="9" t="s">
        <v>33</v>
      </c>
      <c r="B122" s="7">
        <f>SUMIFS(Ventas!$K$2:$K$950,Ventas!$D$2:$D$950,"Guanajuato")</f>
        <v>33765.25999999998</v>
      </c>
      <c r="C122" s="8">
        <f t="shared" si="3"/>
        <v>5.5779318133028694E-2</v>
      </c>
    </row>
    <row r="123" spans="1:3" ht="15" customHeight="1" x14ac:dyDescent="0.2">
      <c r="A123" s="9" t="s">
        <v>77</v>
      </c>
      <c r="B123" s="7">
        <f>SUMIFS(Ventas!$K$2:$K$950,Ventas!$D$2:$D$950,"Veracruz")</f>
        <v>32617.69</v>
      </c>
      <c r="C123" s="8">
        <f t="shared" si="3"/>
        <v>5.3883562788336579E-2</v>
      </c>
    </row>
    <row r="124" spans="1:3" ht="15" customHeight="1" x14ac:dyDescent="0.2">
      <c r="A124" s="9" t="s">
        <v>35</v>
      </c>
      <c r="B124" s="7">
        <f>SUMIFS(Ventas!$K$2:$K$950,Ventas!$D$2:$D$950,"Nuevo León")</f>
        <v>27466.670000000002</v>
      </c>
      <c r="C124" s="8">
        <f t="shared" si="3"/>
        <v>4.5374213732840091E-2</v>
      </c>
    </row>
    <row r="125" spans="1:3" ht="15" customHeight="1" x14ac:dyDescent="0.2">
      <c r="A125" s="9" t="s">
        <v>59</v>
      </c>
      <c r="B125" s="7">
        <f>SUMIFS(Ventas!$K$2:$K$950,Ventas!$D$2:$D$950,"Chiapas")</f>
        <v>23282.989999999994</v>
      </c>
      <c r="C125" s="8">
        <f t="shared" si="3"/>
        <v>3.8462884820022893E-2</v>
      </c>
    </row>
    <row r="126" spans="1:3" ht="15" customHeight="1" x14ac:dyDescent="0.2">
      <c r="A126" s="9" t="s">
        <v>21</v>
      </c>
      <c r="B126" s="7">
        <f>SUMIFS(Ventas!$K$2:$K$950,Ventas!$D$2:$D$950,"Baja California")</f>
        <v>21734.79</v>
      </c>
      <c r="C126" s="8">
        <f t="shared" si="3"/>
        <v>3.590529929177419E-2</v>
      </c>
    </row>
    <row r="127" spans="1:3" ht="15" customHeight="1" x14ac:dyDescent="0.2">
      <c r="A127" s="9" t="s">
        <v>29</v>
      </c>
      <c r="B127" s="7">
        <f>SUMIFS(Ventas!$K$2:$K$950,Ventas!$D$2:$D$950,"Michoacán")</f>
        <v>21430.850000000002</v>
      </c>
      <c r="C127" s="8">
        <f t="shared" si="3"/>
        <v>3.5403198435647133E-2</v>
      </c>
    </row>
    <row r="128" spans="1:3" ht="15" customHeight="1" x14ac:dyDescent="0.2">
      <c r="A128" s="9" t="s">
        <v>40</v>
      </c>
      <c r="B128" s="7">
        <f>SUMIFS(Ventas!$K$2:$K$950,Ventas!$D$2:$D$950,"Coahuila")</f>
        <v>19262.689999999999</v>
      </c>
      <c r="C128" s="8">
        <f t="shared" si="3"/>
        <v>3.1821455354050614E-2</v>
      </c>
    </row>
    <row r="129" spans="1:3" ht="15" customHeight="1" x14ac:dyDescent="0.2">
      <c r="A129" s="9" t="s">
        <v>24</v>
      </c>
      <c r="B129" s="7">
        <f>SUMIFS(Ventas!$K$2:$K$950,Ventas!$D$2:$D$950,"Quintana Roo")</f>
        <v>18659.759999999995</v>
      </c>
      <c r="C129" s="8">
        <f t="shared" si="3"/>
        <v>3.0825430911118817E-2</v>
      </c>
    </row>
    <row r="130" spans="1:3" ht="15" customHeight="1" x14ac:dyDescent="0.2">
      <c r="A130" s="9" t="s">
        <v>56</v>
      </c>
      <c r="B130" s="7">
        <f>SUMIFS(Ventas!$K$2:$K$950,Ventas!$D$2:$D$950,"Puebla")</f>
        <v>18581.829999999994</v>
      </c>
      <c r="C130" s="8">
        <f t="shared" si="3"/>
        <v>3.0696692608434138E-2</v>
      </c>
    </row>
    <row r="131" spans="1:3" ht="15" customHeight="1" x14ac:dyDescent="0.2">
      <c r="A131" s="9" t="s">
        <v>27</v>
      </c>
      <c r="B131" s="7">
        <f>SUMIFS(Ventas!$K$2:$K$950,Ventas!$D$2:$D$950,"Tamaulipas")</f>
        <v>16963.169999999998</v>
      </c>
      <c r="C131" s="8">
        <f t="shared" si="3"/>
        <v>2.8022709020296268E-2</v>
      </c>
    </row>
    <row r="132" spans="1:3" ht="15" customHeight="1" x14ac:dyDescent="0.2">
      <c r="A132" s="9" t="s">
        <v>85</v>
      </c>
      <c r="B132" s="7">
        <f>SUMIFS(Ventas!$K$2:$K$950,Ventas!$D$2:$D$950,"Sinaloa")</f>
        <v>15305.08</v>
      </c>
      <c r="C132" s="8">
        <f t="shared" si="3"/>
        <v>2.5283588113091837E-2</v>
      </c>
    </row>
    <row r="133" spans="1:3" ht="15" customHeight="1" x14ac:dyDescent="0.2">
      <c r="A133" s="9" t="s">
        <v>164</v>
      </c>
      <c r="B133" s="7">
        <f>SUMIFS(Ventas!$K$2:$K$950,Ventas!$D$2:$D$950,"Oaxaca")</f>
        <v>15075.479999999998</v>
      </c>
      <c r="C133" s="8">
        <f t="shared" si="3"/>
        <v>2.4904294974423764E-2</v>
      </c>
    </row>
    <row r="134" spans="1:3" ht="15" customHeight="1" x14ac:dyDescent="0.2">
      <c r="A134" s="9" t="s">
        <v>42</v>
      </c>
      <c r="B134" s="7">
        <f>SUMIFS(Ventas!$K$2:$K$950,Ventas!$D$2:$D$950,"Sonora")</f>
        <v>12705.73</v>
      </c>
      <c r="C134" s="8">
        <f t="shared" si="3"/>
        <v>2.0989530534708367E-2</v>
      </c>
    </row>
    <row r="135" spans="1:3" ht="15" customHeight="1" x14ac:dyDescent="0.2">
      <c r="A135" s="9" t="s">
        <v>232</v>
      </c>
      <c r="B135" s="7">
        <f>SUMIFS(Ventas!$K$2:$K$950,Ventas!$D$2:$D$950,"Hidalgo")</f>
        <v>12448.839999999997</v>
      </c>
      <c r="C135" s="8">
        <f t="shared" si="3"/>
        <v>2.056515503648345E-2</v>
      </c>
    </row>
    <row r="136" spans="1:3" ht="15" customHeight="1" x14ac:dyDescent="0.2">
      <c r="A136" s="9" t="s">
        <v>129</v>
      </c>
      <c r="B136" s="7">
        <f>SUMIFS(Ventas!$K$2:$K$950,Ventas!$D$2:$D$950,"Chihuahua")</f>
        <v>12418.179999999998</v>
      </c>
      <c r="C136" s="8">
        <f t="shared" si="3"/>
        <v>2.0514505525893019E-2</v>
      </c>
    </row>
    <row r="137" spans="1:3" ht="15" customHeight="1" x14ac:dyDescent="0.2">
      <c r="A137" s="9" t="s">
        <v>215</v>
      </c>
      <c r="B137" s="7">
        <f>SUMIFS(Ventas!$K$2:$K$950,Ventas!$D$2:$D$950,"Tabasco")</f>
        <v>11904.38</v>
      </c>
      <c r="C137" s="8">
        <f t="shared" si="3"/>
        <v>1.9665721489971186E-2</v>
      </c>
    </row>
    <row r="138" spans="1:3" ht="15" customHeight="1" x14ac:dyDescent="0.2">
      <c r="A138" s="9" t="s">
        <v>189</v>
      </c>
      <c r="B138" s="7">
        <f>SUMIFS(Ventas!$K$2:$K$950,Ventas!$D$2:$D$950,"Nayarit")</f>
        <v>11693.04</v>
      </c>
      <c r="C138" s="8">
        <f t="shared" si="3"/>
        <v>1.9316593389247714E-2</v>
      </c>
    </row>
    <row r="139" spans="1:3" ht="15" customHeight="1" x14ac:dyDescent="0.2">
      <c r="A139" s="9" t="s">
        <v>140</v>
      </c>
      <c r="B139" s="7">
        <f>SUMIFS(Ventas!$K$2:$K$950,Ventas!$D$2:$D$950,"Yucatán")</f>
        <v>9971.74</v>
      </c>
      <c r="C139" s="8">
        <f t="shared" si="3"/>
        <v>1.6473051230757527E-2</v>
      </c>
    </row>
    <row r="140" spans="1:3" ht="15" customHeight="1" x14ac:dyDescent="0.2">
      <c r="A140" s="9" t="s">
        <v>119</v>
      </c>
      <c r="B140" s="7">
        <f>SUMIFS(Ventas!$K$2:$K$950,Ventas!$D$2:$D$950,"San Luis Potosí")</f>
        <v>9916.15</v>
      </c>
      <c r="C140" s="8">
        <f t="shared" si="3"/>
        <v>1.6381218018307359E-2</v>
      </c>
    </row>
    <row r="141" spans="1:3" ht="15" customHeight="1" x14ac:dyDescent="0.2">
      <c r="A141" s="9" t="s">
        <v>109</v>
      </c>
      <c r="B141" s="7">
        <f>SUMIFS(Ventas!$K$2:$K$950,Ventas!$D$2:$D$950,"Durango")</f>
        <v>9491.010000000002</v>
      </c>
      <c r="C141" s="8">
        <f t="shared" si="3"/>
        <v>1.5678897961803259E-2</v>
      </c>
    </row>
    <row r="142" spans="1:3" ht="15" customHeight="1" x14ac:dyDescent="0.2">
      <c r="A142" s="9" t="s">
        <v>65</v>
      </c>
      <c r="B142" s="7">
        <f>SUMIFS(Ventas!$K$2:$K$950,Ventas!$D$2:$D$950,"Querétaro")</f>
        <v>9161.93</v>
      </c>
      <c r="C142" s="8">
        <f t="shared" si="3"/>
        <v>1.5135266489360363E-2</v>
      </c>
    </row>
    <row r="143" spans="1:3" ht="15" customHeight="1" x14ac:dyDescent="0.2">
      <c r="A143" s="9" t="s">
        <v>126</v>
      </c>
      <c r="B143" s="7">
        <f>SUMIFS(Ventas!$K$2:$K$950,Ventas!$D$2:$D$950,"Guerrero")</f>
        <v>8952.59</v>
      </c>
      <c r="C143" s="8">
        <f t="shared" si="3"/>
        <v>1.478944233583783E-2</v>
      </c>
    </row>
    <row r="144" spans="1:3" ht="15" customHeight="1" x14ac:dyDescent="0.2">
      <c r="A144" s="9" t="s">
        <v>143</v>
      </c>
      <c r="B144" s="7">
        <f>SUMIFS(Ventas!$K$2:$K$950,Ventas!$D$2:$D$950,"Morelos")</f>
        <v>7403.83</v>
      </c>
      <c r="C144" s="8">
        <f t="shared" si="3"/>
        <v>1.2230931702372855E-2</v>
      </c>
    </row>
    <row r="145" spans="1:3" ht="15" customHeight="1" x14ac:dyDescent="0.2">
      <c r="A145" s="9" t="s">
        <v>81</v>
      </c>
      <c r="B145" s="7">
        <f>SUMIFS(Ventas!$K$2:$K$950,Ventas!$D$2:$D$950,"Baja California Sur")</f>
        <v>7070.75</v>
      </c>
      <c r="C145" s="8">
        <f t="shared" si="3"/>
        <v>1.168069233552808E-2</v>
      </c>
    </row>
    <row r="146" spans="1:3" ht="15" customHeight="1" x14ac:dyDescent="0.2">
      <c r="A146" s="9" t="s">
        <v>53</v>
      </c>
      <c r="B146" s="7">
        <f>SUMIFS(Ventas!$K$2:$K$950,Ventas!$D$2:$D$950,"Zacatecas")</f>
        <v>7031.56</v>
      </c>
      <c r="C146" s="8">
        <f t="shared" si="3"/>
        <v>1.1615951490125634E-2</v>
      </c>
    </row>
    <row r="147" spans="1:3" ht="15" customHeight="1" x14ac:dyDescent="0.2">
      <c r="A147" s="9" t="s">
        <v>314</v>
      </c>
      <c r="B147" s="7">
        <f>SUMIFS(Ventas!$K$2:$K$950,Ventas!$D$2:$D$950,"Campeche")</f>
        <v>4769.25</v>
      </c>
      <c r="C147" s="8">
        <f t="shared" si="3"/>
        <v>7.8786750940448031E-3</v>
      </c>
    </row>
    <row r="148" spans="1:3" ht="15" customHeight="1" x14ac:dyDescent="0.2">
      <c r="A148" s="9" t="s">
        <v>175</v>
      </c>
      <c r="B148" s="7">
        <f>SUMIFS(Ventas!$K$2:$K$950,Ventas!$D$2:$D$950,"Colima")</f>
        <v>2552.1099999999997</v>
      </c>
      <c r="C148" s="8">
        <f t="shared" si="3"/>
        <v>4.2160183454972334E-3</v>
      </c>
    </row>
    <row r="149" spans="1:3" ht="15" customHeight="1" x14ac:dyDescent="0.2">
      <c r="A149" s="9" t="s">
        <v>316</v>
      </c>
      <c r="B149" s="7">
        <f>SUMIFS(Ventas!$K$2:$K$950,Ventas!$D$2:$D$950,"Aguascalientes")</f>
        <v>1328.3200000000002</v>
      </c>
      <c r="C149" s="8">
        <f t="shared" si="3"/>
        <v>2.1943495729772177E-3</v>
      </c>
    </row>
    <row r="150" spans="1:3" ht="15" customHeight="1" x14ac:dyDescent="0.2">
      <c r="A150" s="9" t="s">
        <v>554</v>
      </c>
      <c r="B150" s="7">
        <f>SUMIFS(Ventas!$K$2:$K$950,Ventas!$D$2:$D$950,"Tlaxcala")</f>
        <v>999.17</v>
      </c>
      <c r="C150" s="8">
        <f t="shared" si="3"/>
        <v>1.6506024623822921E-3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9"/>
  <sheetViews>
    <sheetView showGridLines="0" zoomScale="81" zoomScaleNormal="100" workbookViewId="0">
      <selection activeCell="V19" sqref="V19"/>
    </sheetView>
  </sheetViews>
  <sheetFormatPr baseColWidth="10" defaultColWidth="8.6640625" defaultRowHeight="15" x14ac:dyDescent="0.2"/>
  <cols>
    <col min="1" max="1" width="3" customWidth="1"/>
    <col min="2" max="11" width="15" customWidth="1"/>
    <col min="12" max="12" width="3" customWidth="1"/>
    <col min="20" max="20" width="14.5" customWidth="1"/>
  </cols>
  <sheetData>
    <row r="1" spans="1:21" ht="16" thickBot="1" x14ac:dyDescent="0.2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7"/>
    </row>
    <row r="2" spans="1:21" ht="33.75" customHeight="1" thickBot="1" x14ac:dyDescent="0.25">
      <c r="A2" s="18"/>
      <c r="B2" s="24" t="s">
        <v>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6"/>
      <c r="U2" s="19"/>
    </row>
    <row r="3" spans="1:21" ht="16" thickBot="1" x14ac:dyDescent="0.25">
      <c r="A3" s="18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19"/>
    </row>
    <row r="4" spans="1:21" ht="18" customHeight="1" x14ac:dyDescent="0.2">
      <c r="A4" s="18"/>
      <c r="B4" s="27" t="s">
        <v>1</v>
      </c>
      <c r="C4" s="28"/>
      <c r="D4" s="28" t="s">
        <v>2</v>
      </c>
      <c r="E4" s="28"/>
      <c r="F4" s="28" t="s">
        <v>3</v>
      </c>
      <c r="G4" s="28"/>
      <c r="H4" s="28" t="s">
        <v>4</v>
      </c>
      <c r="I4" s="28"/>
      <c r="J4" s="29" t="s">
        <v>5</v>
      </c>
      <c r="K4" s="30"/>
      <c r="L4" s="20"/>
      <c r="M4" s="20"/>
      <c r="N4" s="20"/>
      <c r="O4" s="20"/>
      <c r="P4" s="20"/>
      <c r="Q4" s="20"/>
      <c r="R4" s="20"/>
      <c r="S4" s="20"/>
      <c r="T4" s="20"/>
      <c r="U4" s="19"/>
    </row>
    <row r="5" spans="1:21" ht="30" customHeight="1" thickBot="1" x14ac:dyDescent="0.25">
      <c r="A5" s="18"/>
      <c r="B5" s="31">
        <f>Análisis!B3</f>
        <v>857992.67000000319</v>
      </c>
      <c r="C5" s="32"/>
      <c r="D5" s="32">
        <f>Análisis!B4</f>
        <v>605336.54999999912</v>
      </c>
      <c r="E5" s="32"/>
      <c r="F5" s="33">
        <f>Análisis!B5</f>
        <v>949</v>
      </c>
      <c r="G5" s="33"/>
      <c r="H5" s="34">
        <f>Análisis!B6</f>
        <v>904.10186512118355</v>
      </c>
      <c r="I5" s="34"/>
      <c r="J5" s="35">
        <f>Análisis!B8</f>
        <v>0.70552648194534906</v>
      </c>
      <c r="K5" s="36"/>
      <c r="L5" s="20"/>
      <c r="M5" s="20"/>
      <c r="N5" s="20"/>
      <c r="O5" s="20"/>
      <c r="P5" s="20"/>
      <c r="Q5" s="20"/>
      <c r="R5" s="20"/>
      <c r="S5" s="20"/>
      <c r="T5" s="20"/>
      <c r="U5" s="19"/>
    </row>
    <row r="6" spans="1:21" x14ac:dyDescent="0.2">
      <c r="A6" s="18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19"/>
    </row>
    <row r="7" spans="1:21" x14ac:dyDescent="0.2">
      <c r="A7" s="18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19"/>
    </row>
    <row r="8" spans="1:21" x14ac:dyDescent="0.2">
      <c r="A8" s="18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19"/>
    </row>
    <row r="9" spans="1:21" x14ac:dyDescent="0.2">
      <c r="A9" s="18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19"/>
    </row>
    <row r="10" spans="1:21" x14ac:dyDescent="0.2">
      <c r="A10" s="18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19"/>
    </row>
    <row r="11" spans="1:21" x14ac:dyDescent="0.2">
      <c r="A11" s="18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19"/>
    </row>
    <row r="12" spans="1:21" x14ac:dyDescent="0.2">
      <c r="A12" s="18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19"/>
    </row>
    <row r="13" spans="1:21" x14ac:dyDescent="0.2">
      <c r="A13" s="18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19"/>
    </row>
    <row r="14" spans="1:21" x14ac:dyDescent="0.2">
      <c r="A14" s="18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19"/>
    </row>
    <row r="15" spans="1:21" x14ac:dyDescent="0.2">
      <c r="A15" s="1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19"/>
    </row>
    <row r="16" spans="1:21" x14ac:dyDescent="0.2">
      <c r="A16" s="1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19"/>
    </row>
    <row r="17" spans="1:21" x14ac:dyDescent="0.2">
      <c r="A17" s="18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19"/>
    </row>
    <row r="18" spans="1:21" x14ac:dyDescent="0.2">
      <c r="A18" s="18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19"/>
    </row>
    <row r="19" spans="1:21" x14ac:dyDescent="0.2">
      <c r="A19" s="18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19"/>
    </row>
    <row r="20" spans="1:21" x14ac:dyDescent="0.2">
      <c r="A20" s="1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19"/>
    </row>
    <row r="21" spans="1:21" x14ac:dyDescent="0.2">
      <c r="A21" s="18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19"/>
    </row>
    <row r="22" spans="1:21" x14ac:dyDescent="0.2">
      <c r="A22" s="18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19"/>
    </row>
    <row r="23" spans="1:21" x14ac:dyDescent="0.2">
      <c r="A23" s="18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19"/>
    </row>
    <row r="24" spans="1:21" x14ac:dyDescent="0.2">
      <c r="A24" s="18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19"/>
    </row>
    <row r="25" spans="1:21" x14ac:dyDescent="0.2">
      <c r="A25" s="18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19"/>
    </row>
    <row r="26" spans="1:21" x14ac:dyDescent="0.2">
      <c r="A26" s="18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19"/>
    </row>
    <row r="27" spans="1:21" x14ac:dyDescent="0.2">
      <c r="A27" s="18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19"/>
    </row>
    <row r="28" spans="1:21" x14ac:dyDescent="0.2">
      <c r="A28" s="1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19"/>
    </row>
    <row r="29" spans="1:21" x14ac:dyDescent="0.2">
      <c r="A29" s="18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19"/>
    </row>
    <row r="30" spans="1:21" x14ac:dyDescent="0.2">
      <c r="A30" s="18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19"/>
    </row>
    <row r="31" spans="1:21" x14ac:dyDescent="0.2">
      <c r="A31" s="1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19"/>
    </row>
    <row r="32" spans="1:21" x14ac:dyDescent="0.2">
      <c r="A32" s="18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19"/>
    </row>
    <row r="33" spans="1:21" x14ac:dyDescent="0.2">
      <c r="A33" s="18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19"/>
    </row>
    <row r="34" spans="1:21" x14ac:dyDescent="0.2">
      <c r="A34" s="18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19"/>
    </row>
    <row r="35" spans="1:21" x14ac:dyDescent="0.2">
      <c r="A35" s="18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19"/>
    </row>
    <row r="36" spans="1:21" x14ac:dyDescent="0.2">
      <c r="A36" s="18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19"/>
    </row>
    <row r="37" spans="1:21" x14ac:dyDescent="0.2">
      <c r="A37" s="18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19"/>
    </row>
    <row r="38" spans="1:21" x14ac:dyDescent="0.2">
      <c r="A38" s="18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19"/>
    </row>
    <row r="39" spans="1:21" x14ac:dyDescent="0.2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3"/>
    </row>
  </sheetData>
  <mergeCells count="11">
    <mergeCell ref="B5:C5"/>
    <mergeCell ref="D5:E5"/>
    <mergeCell ref="F5:G5"/>
    <mergeCell ref="H5:I5"/>
    <mergeCell ref="J5:K5"/>
    <mergeCell ref="B4:C4"/>
    <mergeCell ref="D4:E4"/>
    <mergeCell ref="F4:G4"/>
    <mergeCell ref="H4:I4"/>
    <mergeCell ref="J4:K4"/>
    <mergeCell ref="B2:T2"/>
  </mergeCells>
  <pageMargins left="0.3" right="0.3" top="0.3" bottom="0.3" header="0.511811023622047" footer="0.511811023622047"/>
  <pageSetup paperSize="9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Ventas</vt:lpstr>
      <vt:lpstr>Análisis</vt:lpstr>
      <vt:lpstr>Dashboard</vt:lpstr>
      <vt:lpstr>Dashboard!Área_de_impresión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Enrique Olvera</cp:lastModifiedBy>
  <cp:revision>2</cp:revision>
  <dcterms:created xsi:type="dcterms:W3CDTF">2026-09-03T02:47:32Z</dcterms:created>
  <dcterms:modified xsi:type="dcterms:W3CDTF">2026-09-03T18:00:03Z</dcterms:modified>
  <dc:language>en-US</dc:language>
</cp:coreProperties>
</file>